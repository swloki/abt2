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84DC6C5-F74E-41FD-8746-F4571671CB9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6.5.8车间人工单价" sheetId="14" r:id="rId1"/>
  </sheets>
  <definedNames>
    <definedName name="_xlnm._FilterDatabase" localSheetId="0" hidden="1">'26.5.8车间人工单价'!$A$2:$AE$132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32" i="14" l="1"/>
  <c r="K132" i="14"/>
  <c r="H132" i="14"/>
  <c r="N131" i="14"/>
  <c r="K131" i="14"/>
  <c r="H131" i="14"/>
  <c r="N130" i="14"/>
  <c r="K130" i="14"/>
  <c r="H130" i="14"/>
  <c r="N129" i="14"/>
  <c r="K129" i="14"/>
  <c r="H129" i="14"/>
  <c r="N128" i="14"/>
  <c r="K128" i="14"/>
  <c r="H128" i="14"/>
  <c r="Y127" i="14"/>
  <c r="N127" i="14"/>
  <c r="K127" i="14"/>
  <c r="H127" i="14"/>
  <c r="Y126" i="14"/>
  <c r="N126" i="14"/>
  <c r="K126" i="14"/>
  <c r="H126" i="14"/>
  <c r="Y125" i="14"/>
  <c r="N125" i="14"/>
  <c r="K125" i="14"/>
  <c r="H125" i="14"/>
  <c r="Y124" i="14"/>
  <c r="N124" i="14"/>
  <c r="K124" i="14"/>
  <c r="H124" i="14"/>
  <c r="Y123" i="14"/>
  <c r="N123" i="14"/>
  <c r="K123" i="14"/>
  <c r="H123" i="14"/>
  <c r="Y122" i="14"/>
  <c r="N122" i="14"/>
  <c r="K122" i="14"/>
  <c r="H122" i="14"/>
  <c r="Y121" i="14"/>
  <c r="N121" i="14"/>
  <c r="K121" i="14"/>
  <c r="H121" i="14"/>
  <c r="Y120" i="14"/>
  <c r="N120" i="14"/>
  <c r="K120" i="14"/>
  <c r="H120" i="14"/>
  <c r="Y119" i="14"/>
  <c r="N119" i="14"/>
  <c r="K119" i="14"/>
  <c r="H119" i="14"/>
  <c r="Y118" i="14"/>
  <c r="N118" i="14"/>
  <c r="K118" i="14"/>
  <c r="H118" i="14"/>
  <c r="Y117" i="14"/>
  <c r="N117" i="14"/>
  <c r="K117" i="14"/>
  <c r="H117" i="14"/>
  <c r="Y116" i="14"/>
  <c r="N116" i="14"/>
  <c r="K116" i="14"/>
  <c r="H116" i="14"/>
  <c r="Y115" i="14"/>
  <c r="N115" i="14"/>
  <c r="K115" i="14"/>
  <c r="H115" i="14"/>
  <c r="N114" i="14"/>
  <c r="K114" i="14"/>
  <c r="H114" i="14"/>
  <c r="Y113" i="14"/>
  <c r="N113" i="14"/>
  <c r="K113" i="14"/>
  <c r="H113" i="14"/>
  <c r="Y112" i="14"/>
  <c r="N112" i="14"/>
  <c r="K112" i="14"/>
  <c r="H112" i="14"/>
  <c r="Y111" i="14"/>
  <c r="N111" i="14"/>
  <c r="K111" i="14"/>
  <c r="H111" i="14"/>
  <c r="Y110" i="14"/>
  <c r="N110" i="14"/>
  <c r="K110" i="14"/>
  <c r="H110" i="14"/>
  <c r="Y109" i="14"/>
  <c r="N109" i="14"/>
  <c r="K109" i="14"/>
  <c r="H109" i="14"/>
  <c r="Y108" i="14"/>
  <c r="X108" i="14"/>
  <c r="N108" i="14"/>
  <c r="K108" i="14"/>
  <c r="H108" i="14"/>
  <c r="N107" i="14"/>
  <c r="K107" i="14"/>
  <c r="H107" i="14"/>
  <c r="N106" i="14"/>
  <c r="K106" i="14"/>
  <c r="H106" i="14"/>
  <c r="N105" i="14"/>
  <c r="K105" i="14"/>
  <c r="H105" i="14"/>
  <c r="N104" i="14"/>
  <c r="K104" i="14"/>
  <c r="H104" i="14"/>
  <c r="N103" i="14"/>
  <c r="K103" i="14"/>
  <c r="H103" i="14"/>
  <c r="N102" i="14"/>
  <c r="K102" i="14"/>
  <c r="H102" i="14"/>
  <c r="N101" i="14"/>
  <c r="K101" i="14"/>
  <c r="H101" i="14"/>
  <c r="N100" i="14"/>
  <c r="K100" i="14"/>
  <c r="H100" i="14"/>
  <c r="N99" i="14"/>
  <c r="K99" i="14"/>
  <c r="H99" i="14"/>
  <c r="N98" i="14"/>
  <c r="K98" i="14"/>
  <c r="H98" i="14"/>
  <c r="N97" i="14"/>
  <c r="K97" i="14"/>
  <c r="H97" i="14"/>
  <c r="N96" i="14"/>
  <c r="K96" i="14"/>
  <c r="H96" i="14"/>
  <c r="N95" i="14"/>
  <c r="K95" i="14"/>
  <c r="H95" i="14"/>
  <c r="N94" i="14"/>
  <c r="K94" i="14"/>
  <c r="H94" i="14"/>
  <c r="N93" i="14"/>
  <c r="K93" i="14"/>
  <c r="H93" i="14"/>
  <c r="N92" i="14"/>
  <c r="K92" i="14"/>
  <c r="H92" i="14"/>
  <c r="N91" i="14"/>
  <c r="K91" i="14"/>
  <c r="H91" i="14"/>
  <c r="N90" i="14"/>
  <c r="K90" i="14"/>
  <c r="H90" i="14"/>
  <c r="N89" i="14"/>
  <c r="K89" i="14"/>
  <c r="H89" i="14"/>
  <c r="N88" i="14"/>
  <c r="K88" i="14"/>
  <c r="H88" i="14"/>
  <c r="N87" i="14"/>
  <c r="K87" i="14"/>
  <c r="H87" i="14"/>
  <c r="N86" i="14"/>
  <c r="K86" i="14"/>
  <c r="H86" i="14"/>
  <c r="N85" i="14"/>
  <c r="K85" i="14"/>
  <c r="H85" i="14"/>
  <c r="N84" i="14"/>
  <c r="K84" i="14"/>
  <c r="H84" i="14"/>
  <c r="N83" i="14"/>
  <c r="K83" i="14"/>
  <c r="H83" i="14"/>
  <c r="N82" i="14"/>
  <c r="K82" i="14"/>
  <c r="H82" i="14"/>
  <c r="N81" i="14"/>
  <c r="K81" i="14"/>
  <c r="H81" i="14"/>
  <c r="N80" i="14"/>
  <c r="K80" i="14"/>
  <c r="H80" i="14"/>
  <c r="N79" i="14"/>
  <c r="K79" i="14"/>
  <c r="H79" i="14"/>
  <c r="N78" i="14"/>
  <c r="K78" i="14"/>
  <c r="H78" i="14"/>
  <c r="N77" i="14"/>
  <c r="K77" i="14"/>
  <c r="H77" i="14"/>
  <c r="N76" i="14"/>
  <c r="K76" i="14"/>
  <c r="H76" i="14"/>
  <c r="N75" i="14"/>
  <c r="K75" i="14"/>
  <c r="H75" i="14"/>
  <c r="N74" i="14"/>
  <c r="K74" i="14"/>
  <c r="H74" i="14"/>
  <c r="N73" i="14"/>
  <c r="K73" i="14"/>
  <c r="H73" i="14"/>
  <c r="N72" i="14"/>
  <c r="K72" i="14"/>
  <c r="H72" i="14"/>
  <c r="N71" i="14"/>
  <c r="K71" i="14"/>
  <c r="H71" i="14"/>
  <c r="N70" i="14"/>
  <c r="K70" i="14"/>
  <c r="H70" i="14"/>
  <c r="N69" i="14"/>
  <c r="K69" i="14"/>
  <c r="H69" i="14"/>
  <c r="N68" i="14"/>
  <c r="K68" i="14"/>
  <c r="H68" i="14"/>
  <c r="N67" i="14"/>
  <c r="K67" i="14"/>
  <c r="H67" i="14"/>
  <c r="N66" i="14"/>
  <c r="K66" i="14"/>
  <c r="H66" i="14"/>
  <c r="N65" i="14"/>
  <c r="K65" i="14"/>
  <c r="H65" i="14"/>
  <c r="N64" i="14"/>
  <c r="K64" i="14"/>
  <c r="H64" i="14"/>
  <c r="N63" i="14"/>
  <c r="K63" i="14"/>
  <c r="H63" i="14"/>
  <c r="N62" i="14"/>
  <c r="K62" i="14"/>
  <c r="H62" i="14"/>
  <c r="N61" i="14"/>
  <c r="K61" i="14"/>
  <c r="H61" i="14"/>
  <c r="N60" i="14"/>
  <c r="K60" i="14"/>
  <c r="H60" i="14"/>
  <c r="N59" i="14"/>
  <c r="K59" i="14"/>
  <c r="H59" i="14"/>
  <c r="N58" i="14"/>
  <c r="K58" i="14"/>
  <c r="H58" i="14"/>
  <c r="N57" i="14"/>
  <c r="K57" i="14"/>
  <c r="H57" i="14"/>
  <c r="N56" i="14"/>
  <c r="K56" i="14"/>
  <c r="H56" i="14"/>
  <c r="N55" i="14"/>
  <c r="K55" i="14"/>
  <c r="H55" i="14"/>
  <c r="N54" i="14"/>
  <c r="K54" i="14"/>
  <c r="H54" i="14"/>
  <c r="N53" i="14"/>
  <c r="K53" i="14"/>
  <c r="H53" i="14"/>
  <c r="N52" i="14"/>
  <c r="K52" i="14"/>
  <c r="H52" i="14"/>
  <c r="N51" i="14"/>
  <c r="K51" i="14"/>
  <c r="H51" i="14"/>
  <c r="N50" i="14"/>
  <c r="K50" i="14"/>
  <c r="H50" i="14"/>
  <c r="N49" i="14"/>
  <c r="K49" i="14"/>
  <c r="H49" i="14"/>
  <c r="N48" i="14"/>
  <c r="K48" i="14"/>
  <c r="H48" i="14"/>
  <c r="N47" i="14"/>
  <c r="K47" i="14"/>
  <c r="H47" i="14"/>
  <c r="N46" i="14"/>
  <c r="K46" i="14"/>
  <c r="H46" i="14"/>
  <c r="N45" i="14"/>
  <c r="K45" i="14"/>
  <c r="H45" i="14"/>
  <c r="N44" i="14"/>
  <c r="K44" i="14"/>
  <c r="H44" i="14"/>
  <c r="N43" i="14"/>
  <c r="K43" i="14"/>
  <c r="H43" i="14"/>
  <c r="N42" i="14"/>
  <c r="K42" i="14"/>
  <c r="H42" i="14"/>
  <c r="N41" i="14"/>
  <c r="K41" i="14"/>
  <c r="H41" i="14"/>
  <c r="N40" i="14"/>
  <c r="K40" i="14"/>
  <c r="H40" i="14"/>
  <c r="N39" i="14"/>
  <c r="K39" i="14"/>
  <c r="H39" i="14"/>
  <c r="N38" i="14"/>
  <c r="K38" i="14"/>
  <c r="H38" i="14"/>
  <c r="N37" i="14"/>
  <c r="K37" i="14"/>
  <c r="H37" i="14"/>
  <c r="N36" i="14"/>
  <c r="K36" i="14"/>
  <c r="H36" i="14"/>
  <c r="N35" i="14"/>
  <c r="K35" i="14"/>
  <c r="H35" i="14"/>
  <c r="N34" i="14"/>
  <c r="K34" i="14"/>
  <c r="H34" i="14"/>
  <c r="N33" i="14"/>
  <c r="K33" i="14"/>
  <c r="H33" i="14"/>
  <c r="N32" i="14"/>
  <c r="K32" i="14"/>
  <c r="H32" i="14"/>
  <c r="N31" i="14"/>
  <c r="K31" i="14"/>
  <c r="H31" i="14"/>
  <c r="N30" i="14"/>
  <c r="K30" i="14"/>
  <c r="H30" i="14"/>
  <c r="N29" i="14"/>
  <c r="K29" i="14"/>
  <c r="H29" i="14"/>
  <c r="N28" i="14"/>
  <c r="K28" i="14"/>
  <c r="H28" i="14"/>
  <c r="N27" i="14"/>
  <c r="K27" i="14"/>
  <c r="H27" i="14"/>
  <c r="N26" i="14"/>
  <c r="K26" i="14"/>
  <c r="H26" i="14"/>
  <c r="N25" i="14"/>
  <c r="K25" i="14"/>
  <c r="H25" i="14"/>
  <c r="N24" i="14"/>
  <c r="K24" i="14"/>
  <c r="H24" i="14"/>
  <c r="N23" i="14"/>
  <c r="K23" i="14"/>
  <c r="H23" i="14"/>
  <c r="N22" i="14"/>
  <c r="K22" i="14"/>
  <c r="H22" i="14"/>
  <c r="N21" i="14"/>
  <c r="K21" i="14"/>
  <c r="H21" i="14"/>
  <c r="N20" i="14"/>
  <c r="K20" i="14"/>
  <c r="H20" i="14"/>
  <c r="N19" i="14"/>
  <c r="K19" i="14"/>
  <c r="H19" i="14"/>
  <c r="N18" i="14"/>
  <c r="K18" i="14"/>
  <c r="H18" i="14"/>
  <c r="N17" i="14"/>
  <c r="K17" i="14"/>
  <c r="H17" i="14"/>
  <c r="N16" i="14"/>
  <c r="K16" i="14"/>
  <c r="H16" i="14"/>
  <c r="N15" i="14"/>
  <c r="K15" i="14"/>
  <c r="H15" i="14"/>
  <c r="N14" i="14"/>
  <c r="K14" i="14"/>
  <c r="H14" i="14"/>
  <c r="N13" i="14"/>
  <c r="K13" i="14"/>
  <c r="H13" i="14"/>
  <c r="N12" i="14"/>
  <c r="K12" i="14"/>
  <c r="H12" i="14"/>
  <c r="N11" i="14"/>
  <c r="K11" i="14"/>
  <c r="H11" i="14"/>
  <c r="N10" i="14"/>
  <c r="K10" i="14"/>
  <c r="H10" i="14"/>
  <c r="N9" i="14"/>
  <c r="K9" i="14"/>
  <c r="H9" i="14"/>
  <c r="N8" i="14"/>
  <c r="K8" i="14"/>
  <c r="H8" i="14"/>
  <c r="N7" i="14"/>
  <c r="K7" i="14"/>
  <c r="H7" i="14"/>
  <c r="N6" i="14"/>
  <c r="K6" i="14"/>
  <c r="H6" i="14"/>
  <c r="N5" i="14"/>
  <c r="K5" i="14"/>
  <c r="H5" i="14"/>
  <c r="N4" i="14"/>
  <c r="K4" i="14"/>
  <c r="H4" i="14"/>
  <c r="N3" i="14"/>
  <c r="K3" i="14"/>
  <c r="H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M2" authorId="0" shapeId="0" xr:uid="{00000000-0006-0000-0000-000001000000}">
      <text>
        <r>
          <rPr>
            <sz val="9"/>
            <rFont val="宋体"/>
            <family val="3"/>
            <charset val="134"/>
          </rPr>
          <t>插件全部0.012</t>
        </r>
      </text>
    </comment>
    <comment ref="O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4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5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3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4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5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6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7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8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9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0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1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2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3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4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5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6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7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8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29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0" authorId="0" shapeId="0" xr:uid="{00000000-0006-0000-0000-00001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1" authorId="0" shapeId="0" xr:uid="{00000000-0006-0000-0000-000018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2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3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4" authorId="0" shapeId="0" xr:uid="{00000000-0006-0000-0000-00001B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5" authorId="0" shapeId="0" xr:uid="{00000000-0006-0000-0000-00001C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6" authorId="0" shapeId="0" xr:uid="{00000000-0006-0000-0000-00001D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7" authorId="0" shapeId="0" xr:uid="{00000000-0006-0000-0000-00001E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8" authorId="0" shapeId="0" xr:uid="{00000000-0006-0000-0000-00001F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39" authorId="0" shapeId="0" xr:uid="{00000000-0006-0000-0000-000020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40" authorId="0" shapeId="0" xr:uid="{00000000-0006-0000-0000-000021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41" authorId="0" shapeId="0" xr:uid="{00000000-0006-0000-0000-000022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42" authorId="0" shapeId="0" xr:uid="{00000000-0006-0000-0000-00002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X66" authorId="0" shapeId="0" xr:uid="{00000000-0006-0000-0000-000024000000}">
      <text>
        <r>
          <rPr>
            <sz val="9"/>
            <rFont val="宋体"/>
            <family val="3"/>
            <charset val="134"/>
          </rPr>
          <t xml:space="preserve">灌胶和盖盖0.18，没有撕胶，没有打螺丝
</t>
        </r>
      </text>
    </comment>
    <comment ref="Y80" authorId="0" shapeId="0" xr:uid="{00000000-0006-0000-0000-000025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1" authorId="0" shapeId="0" xr:uid="{00000000-0006-0000-0000-000026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2" authorId="0" shapeId="0" xr:uid="{00000000-0006-0000-0000-000027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3" authorId="0" shapeId="0" xr:uid="{00000000-0006-0000-0000-000028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4" authorId="0" shapeId="0" xr:uid="{00000000-0006-0000-0000-000029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5" authorId="0" shapeId="0" xr:uid="{00000000-0006-0000-0000-00002A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6" authorId="0" shapeId="0" xr:uid="{00000000-0006-0000-0000-00002B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7" authorId="0" shapeId="0" xr:uid="{00000000-0006-0000-0000-00002C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8" authorId="0" shapeId="0" xr:uid="{00000000-0006-0000-0000-00002D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89" authorId="0" shapeId="0" xr:uid="{00000000-0006-0000-0000-00002E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0" authorId="0" shapeId="0" xr:uid="{00000000-0006-0000-0000-00002F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1" authorId="0" shapeId="0" xr:uid="{00000000-0006-0000-0000-000030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2" authorId="0" shapeId="0" xr:uid="{00000000-0006-0000-0000-000031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3" authorId="0" shapeId="0" xr:uid="{00000000-0006-0000-0000-000032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4" authorId="0" shapeId="0" xr:uid="{00000000-0006-0000-0000-000033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5" authorId="0" shapeId="0" xr:uid="{00000000-0006-0000-0000-000034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6" authorId="0" shapeId="0" xr:uid="{00000000-0006-0000-0000-000035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Y97" authorId="0" shapeId="0" xr:uid="{00000000-0006-0000-0000-000036000000}">
      <text>
        <r>
          <rPr>
            <sz val="9"/>
            <rFont val="宋体"/>
            <family val="3"/>
            <charset val="134"/>
          </rPr>
          <t xml:space="preserve">室内机没有打螺丝
</t>
        </r>
      </text>
    </comment>
    <comment ref="O98" authorId="0" shapeId="0" xr:uid="{00000000-0006-0000-0000-00003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99" authorId="0" shapeId="0" xr:uid="{00000000-0006-0000-0000-000038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0" authorId="0" shapeId="0" xr:uid="{00000000-0006-0000-0000-000039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1" authorId="0" shapeId="0" xr:uid="{00000000-0006-0000-0000-00003A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2" authorId="0" shapeId="0" xr:uid="{00000000-0006-0000-0000-00003B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3" authorId="0" shapeId="0" xr:uid="{00000000-0006-0000-0000-00003C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4" authorId="0" shapeId="0" xr:uid="{00000000-0006-0000-0000-00003D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5" authorId="0" shapeId="0" xr:uid="{00000000-0006-0000-0000-00003E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08" authorId="0" shapeId="0" xr:uid="{00000000-0006-0000-0000-00003F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08" authorId="0" shapeId="0" xr:uid="{00000000-0006-0000-0000-000040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09" authorId="0" shapeId="0" xr:uid="{00000000-0006-0000-0000-000041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09" authorId="0" shapeId="0" xr:uid="{00000000-0006-0000-0000-000042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0" authorId="0" shapeId="0" xr:uid="{00000000-0006-0000-0000-00004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0" authorId="0" shapeId="0" xr:uid="{00000000-0006-0000-0000-000044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1" authorId="0" shapeId="0" xr:uid="{00000000-0006-0000-0000-000045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1" authorId="0" shapeId="0" xr:uid="{00000000-0006-0000-0000-000046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2" authorId="0" shapeId="0" xr:uid="{00000000-0006-0000-0000-00004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2" authorId="0" shapeId="0" xr:uid="{00000000-0006-0000-0000-000048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3" authorId="0" shapeId="0" xr:uid="{00000000-0006-0000-0000-000049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3" authorId="0" shapeId="0" xr:uid="{00000000-0006-0000-0000-00004A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5" authorId="0" shapeId="0" xr:uid="{00000000-0006-0000-0000-00004B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5" authorId="0" shapeId="0" xr:uid="{00000000-0006-0000-0000-00004C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6" authorId="0" shapeId="0" xr:uid="{00000000-0006-0000-0000-00004D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6" authorId="0" shapeId="0" xr:uid="{00000000-0006-0000-0000-00004E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7" authorId="0" shapeId="0" xr:uid="{00000000-0006-0000-0000-00004F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7" authorId="0" shapeId="0" xr:uid="{00000000-0006-0000-0000-000050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8" authorId="0" shapeId="0" xr:uid="{00000000-0006-0000-0000-000051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8" authorId="0" shapeId="0" xr:uid="{00000000-0006-0000-0000-000052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19" authorId="0" shapeId="0" xr:uid="{00000000-0006-0000-0000-00005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19" authorId="0" shapeId="0" xr:uid="{00000000-0006-0000-0000-000054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0" authorId="0" shapeId="0" xr:uid="{00000000-0006-0000-0000-000055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0" authorId="0" shapeId="0" xr:uid="{00000000-0006-0000-0000-000056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1" authorId="0" shapeId="0" xr:uid="{00000000-0006-0000-0000-00005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1" authorId="0" shapeId="0" xr:uid="{00000000-0006-0000-0000-000058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2" authorId="0" shapeId="0" xr:uid="{00000000-0006-0000-0000-000059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2" authorId="0" shapeId="0" xr:uid="{00000000-0006-0000-0000-00005A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3" authorId="0" shapeId="0" xr:uid="{00000000-0006-0000-0000-00005B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3" authorId="0" shapeId="0" xr:uid="{00000000-0006-0000-0000-00005C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4" authorId="0" shapeId="0" xr:uid="{00000000-0006-0000-0000-00005D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4" authorId="0" shapeId="0" xr:uid="{00000000-0006-0000-0000-00005E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5" authorId="0" shapeId="0" xr:uid="{00000000-0006-0000-0000-00005F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5" authorId="0" shapeId="0" xr:uid="{00000000-0006-0000-0000-000060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6" authorId="0" shapeId="0" xr:uid="{00000000-0006-0000-0000-000061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6" authorId="0" shapeId="0" xr:uid="{00000000-0006-0000-0000-000062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7" authorId="0" shapeId="0" xr:uid="{00000000-0006-0000-0000-000063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Y127" authorId="0" shapeId="0" xr:uid="{00000000-0006-0000-0000-000064000000}">
      <text>
        <r>
          <rPr>
            <sz val="9"/>
            <rFont val="宋体"/>
            <family val="3"/>
            <charset val="134"/>
          </rPr>
          <t xml:space="preserve">龙腾半灌胶打螺丝和盖盖一共0.35
</t>
        </r>
      </text>
    </comment>
    <comment ref="O129" authorId="0" shapeId="0" xr:uid="{00000000-0006-0000-0000-000065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30" authorId="0" shapeId="0" xr:uid="{00000000-0006-0000-0000-000066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  <comment ref="O132" authorId="0" shapeId="0" xr:uid="{00000000-0006-0000-0000-000067000000}">
      <text>
        <r>
          <rPr>
            <b/>
            <sz val="9"/>
            <rFont val="宋体"/>
            <family val="3"/>
            <charset val="134"/>
          </rPr>
          <t>0.105改0.108</t>
        </r>
      </text>
    </comment>
  </commentList>
</comments>
</file>

<file path=xl/sharedStrings.xml><?xml version="1.0" encoding="utf-8"?>
<sst xmlns="http://schemas.openxmlformats.org/spreadsheetml/2006/main" count="573" uniqueCount="326">
  <si>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</si>
  <si>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</si>
  <si>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</si>
  <si>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</si>
  <si>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</si>
  <si>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</si>
  <si>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</si>
  <si>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</si>
  <si>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</si>
  <si>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</si>
  <si>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</si>
  <si>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</si>
  <si>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</si>
  <si>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</si>
  <si>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</si>
  <si>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</si>
  <si>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</si>
  <si>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</si>
  <si>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</si>
  <si>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序号</t>
  </si>
  <si>
    <t>系列</t>
  </si>
  <si>
    <t>成品编码</t>
  </si>
  <si>
    <t>产品名称</t>
  </si>
  <si>
    <t>产品分类</t>
  </si>
  <si>
    <t>1电源AI</t>
  </si>
  <si>
    <t>单价</t>
  </si>
  <si>
    <t>AI插件金额</t>
  </si>
  <si>
    <t>2电源SMT</t>
  </si>
  <si>
    <t>贴片单价</t>
  </si>
  <si>
    <t>SMT贴片金额</t>
  </si>
  <si>
    <t>3电源插件</t>
  </si>
  <si>
    <t>插件</t>
  </si>
  <si>
    <t>手插件金额</t>
  </si>
  <si>
    <t>4电源补焊</t>
  </si>
  <si>
    <t>5电源前测</t>
  </si>
  <si>
    <t>6电源组装</t>
  </si>
  <si>
    <t>7电源老化</t>
  </si>
  <si>
    <t>8电源中测</t>
  </si>
  <si>
    <t>9电源后测</t>
  </si>
  <si>
    <t>10电源打印</t>
  </si>
  <si>
    <t>11电源过塑</t>
  </si>
  <si>
    <t>12电源包装</t>
  </si>
  <si>
    <t>13电源灌胶</t>
  </si>
  <si>
    <t>14电源螺丝</t>
  </si>
  <si>
    <t>15电源撕膜</t>
  </si>
  <si>
    <t>16电源焊线</t>
  </si>
  <si>
    <t>17电源堵头</t>
  </si>
  <si>
    <t>18电源盖盖</t>
  </si>
  <si>
    <t>19电源散热</t>
  </si>
  <si>
    <t>户外防雨系列</t>
  </si>
  <si>
    <t>x1735358074</t>
  </si>
  <si>
    <t>B25-400-12V防雨电源(尺寸L180*W110*H50mm)</t>
  </si>
  <si>
    <t>常规</t>
  </si>
  <si>
    <t>x1739875854</t>
  </si>
  <si>
    <t>C25-400-12V防雨电源(尺寸L180*W110*H50mm)</t>
  </si>
  <si>
    <t>x1746516772</t>
  </si>
  <si>
    <t>C25-12V-400(280W)防雨电源/PA-RP</t>
  </si>
  <si>
    <t>很少</t>
  </si>
  <si>
    <t>x1745302867</t>
  </si>
  <si>
    <t>C25-12V-400(280W)防雨电源-MG</t>
  </si>
  <si>
    <t>x1744622767</t>
  </si>
  <si>
    <t>C25-12V-400(280W)防雨电源/E-Aurara/0414</t>
  </si>
  <si>
    <t>x1742260941</t>
  </si>
  <si>
    <t>新B款12V-400W防雨电源</t>
  </si>
  <si>
    <t>未出过货</t>
  </si>
  <si>
    <t>x1743661788</t>
  </si>
  <si>
    <t>智能B25-12V-400W防雨电源</t>
  </si>
  <si>
    <t>刘青只出过一次25.12</t>
  </si>
  <si>
    <t>x1746516740</t>
  </si>
  <si>
    <t>智能B25-12V-400W防雨电源/RP</t>
  </si>
  <si>
    <t>x1744622521</t>
  </si>
  <si>
    <t>智能B25-12V-400W防雨电源/E-Aurora-upgrade/0414</t>
  </si>
  <si>
    <t>四姐</t>
  </si>
  <si>
    <t>x1744093994</t>
  </si>
  <si>
    <t>智能B25-400W-24V防雨电源</t>
  </si>
  <si>
    <t>x1742209997</t>
  </si>
  <si>
    <t>智能A防雨电源5V-350W(尺寸L186*W117*H51mm)</t>
  </si>
  <si>
    <t>x1739840894</t>
  </si>
  <si>
    <t>智能A12V-400W防雨电源(尺寸L186*W117*H51mm)</t>
  </si>
  <si>
    <t>x1739840997</t>
  </si>
  <si>
    <t>智能A24V-400W(400W)防雨电源</t>
  </si>
  <si>
    <t>x1741672374</t>
  </si>
  <si>
    <t>智能A12V-600W防雨电源(尺寸L215*W117*H51mm)</t>
  </si>
  <si>
    <t>x1742033445</t>
  </si>
  <si>
    <t>智能B12V-600W防雨电源(尺寸L215*W117*H51mm)</t>
  </si>
  <si>
    <t>x1743073983</t>
  </si>
  <si>
    <t>智能B24V-600W(520W)防雨电源</t>
  </si>
  <si>
    <t>x1740794119</t>
  </si>
  <si>
    <t>推盖防雨电源12V-60W(尺寸L130*W73.5*H42mm)</t>
  </si>
  <si>
    <t>x1762390474</t>
  </si>
  <si>
    <t>(G.Light)推盖防雨电源12V-60W</t>
  </si>
  <si>
    <t>x1741081432</t>
  </si>
  <si>
    <t>推盖防雨电源12V-100W(尺寸L148*W73.5*H42mm)</t>
  </si>
  <si>
    <t>出得少</t>
  </si>
  <si>
    <t>x1762392512</t>
  </si>
  <si>
    <t>(G.Light)推盖防雨电源12V-120W</t>
  </si>
  <si>
    <t>x1741693774</t>
  </si>
  <si>
    <t>推盖防雨电源12V-200W(尺寸L180*W73.5*H42mm)</t>
  </si>
  <si>
    <t>没有出货</t>
  </si>
  <si>
    <t>x1741746269</t>
  </si>
  <si>
    <t>推盖防雨电源12V-300W(尺寸L169*W95*H50mm)</t>
  </si>
  <si>
    <t>x1736575155</t>
  </si>
  <si>
    <t>智能推盖防雨电源12V-400W(尺寸L192*W117*H51mm)</t>
  </si>
  <si>
    <t>朱总出过</t>
  </si>
  <si>
    <t>x1744101550</t>
  </si>
  <si>
    <t>智能推盖防雨电源12V-400W(320W)-MEGA</t>
  </si>
  <si>
    <t>四姐出过</t>
  </si>
  <si>
    <t>x1744101522</t>
  </si>
  <si>
    <t>智能推盖防雨电源12V-400W(320W)-OSRA</t>
  </si>
  <si>
    <t>x1744101455</t>
  </si>
  <si>
    <t>智能推盖防雨电源12V-400W(320W)-SEOUL</t>
  </si>
  <si>
    <t>x1762562651</t>
  </si>
  <si>
    <t>G.Light智能推盖防雨电源12V-400W(360W)</t>
  </si>
  <si>
    <t>x1736574543</t>
  </si>
  <si>
    <t>智能推盖防雨电源24V-400W</t>
  </si>
  <si>
    <t>x1760924711</t>
  </si>
  <si>
    <t>FYMH12V-400W(260W)防雨电源</t>
  </si>
  <si>
    <t>x1766115589</t>
  </si>
  <si>
    <t>FYXB24V-400W(350W)防雨电源</t>
  </si>
  <si>
    <t>电源/防雨电源/12V60W/HMT</t>
  </si>
  <si>
    <t>电源/防雨电源/12V100W/HMT</t>
  </si>
  <si>
    <t>电源/防雨电源/12V150W/HMT</t>
  </si>
  <si>
    <t>电源/防雨电源/12V200W/HMT</t>
  </si>
  <si>
    <t>x1770357657</t>
  </si>
  <si>
    <t>HMT12V-200W(180W)防雨电源</t>
  </si>
  <si>
    <t>电源/防雨电源/12V300W/HMT</t>
  </si>
  <si>
    <t>x1766641614</t>
  </si>
  <si>
    <t>HMT12V-300W防雨电源</t>
  </si>
  <si>
    <t>电源/防雨电源/12V400W/HMT（HX9953T）</t>
  </si>
  <si>
    <t>x1754987458</t>
  </si>
  <si>
    <t>HMT12V-400W(360W)防雨电源</t>
  </si>
  <si>
    <t>龙腾银龙系列</t>
  </si>
  <si>
    <t>x1737101445</t>
  </si>
  <si>
    <t>龙腾防雨电源24V-400W(180*116*51mm)</t>
  </si>
  <si>
    <t>卡布系列</t>
  </si>
  <si>
    <t>x1754443449</t>
  </si>
  <si>
    <t>卡布电源12V-150W(100W)</t>
  </si>
  <si>
    <t>x1735288740</t>
  </si>
  <si>
    <t>卡布灯箱电源/12V-200W(尺寸L307*W53*H22mm)</t>
  </si>
  <si>
    <t>x1735288653</t>
  </si>
  <si>
    <t>卡布灯箱电源/12V-300W(带风扇)(尺寸L307*W53*H22mm)</t>
  </si>
  <si>
    <t>防水系列</t>
  </si>
  <si>
    <t>x1751623718</t>
  </si>
  <si>
    <t>防水电源12V-36W(30W)</t>
  </si>
  <si>
    <t>x1744421940</t>
  </si>
  <si>
    <t>防水电源/12V60W</t>
  </si>
  <si>
    <t>x1744421904</t>
  </si>
  <si>
    <t>防水电源/12V100W</t>
  </si>
  <si>
    <t>x1769841414</t>
  </si>
  <si>
    <t>防水电源FSXE12V-100W(50W)</t>
  </si>
  <si>
    <t>x1744421875</t>
  </si>
  <si>
    <t>防水电源/12V150W</t>
  </si>
  <si>
    <t>x1744421837</t>
  </si>
  <si>
    <t>防水电源/12V200W</t>
  </si>
  <si>
    <t>x1769841403</t>
  </si>
  <si>
    <t>FSXE12V-200W(80W)防水电源</t>
  </si>
  <si>
    <t>x1744421797</t>
  </si>
  <si>
    <t>防水电源/12V300W</t>
  </si>
  <si>
    <t>x1769841393</t>
  </si>
  <si>
    <t>FSXE12V-300(120W)防水电源</t>
  </si>
  <si>
    <t>x1744421750</t>
  </si>
  <si>
    <t>防水电源/12V-400W</t>
  </si>
  <si>
    <t>x1769841366</t>
  </si>
  <si>
    <t>FSXE12V-400(180W)防水电源</t>
  </si>
  <si>
    <t>x1742282216</t>
  </si>
  <si>
    <t>防水电源/12V-500W</t>
  </si>
  <si>
    <t>x1742282049</t>
  </si>
  <si>
    <t>防水电源/12V-600W</t>
  </si>
  <si>
    <t>x1744421957</t>
  </si>
  <si>
    <t>防水电源24V-60W(48W)</t>
  </si>
  <si>
    <t>x1744421921</t>
  </si>
  <si>
    <t>防水电源24V-100W(80W)</t>
  </si>
  <si>
    <t>x1744421888</t>
  </si>
  <si>
    <t>防水电源24V-150W(120W)</t>
  </si>
  <si>
    <t>x1744421850</t>
  </si>
  <si>
    <t>防水电源24V-200W(200W)</t>
  </si>
  <si>
    <t>x1744421815</t>
  </si>
  <si>
    <t>防水电源24V-300W(300W)</t>
  </si>
  <si>
    <t>x1744421779</t>
  </si>
  <si>
    <t>防水电源24V-400W(300W)</t>
  </si>
  <si>
    <t>x1743412256</t>
  </si>
  <si>
    <t>防水电源24V-500W(400W)</t>
  </si>
  <si>
    <t>黑金刚SNGDSNGB照明联保</t>
  </si>
  <si>
    <t>x1752456252</t>
  </si>
  <si>
    <t>(银河)YH24V-400W室内电源/(尺寸222*52*24mm)与照明400W单价一样</t>
  </si>
  <si>
    <t>x1743577826</t>
  </si>
  <si>
    <t>联保LB12V-400W室内电源/(尺寸223*60*32mm)</t>
  </si>
  <si>
    <t>x1740623879</t>
  </si>
  <si>
    <t>G系列照明ZM12V-60W(中性标)</t>
  </si>
  <si>
    <t>x1740623790</t>
  </si>
  <si>
    <t>G系列照明ZM24V-60W(中性标)</t>
  </si>
  <si>
    <t>x1745545236</t>
  </si>
  <si>
    <t>G系列照明不灌胶ZM12V-100W/(中性标)</t>
  </si>
  <si>
    <t>x1745545197</t>
  </si>
  <si>
    <t>G系列照明不灌胶ZM12V-200W/(中性标)</t>
  </si>
  <si>
    <t>x1745544996</t>
  </si>
  <si>
    <t>G系列照明不灌胶ZM12V-300W/(中性标)</t>
  </si>
  <si>
    <t>x1736817330</t>
  </si>
  <si>
    <t>G系列照明不灌胶ZM12V-400W/(中性标)</t>
  </si>
  <si>
    <t>x1745545248</t>
  </si>
  <si>
    <t>G系列照明不灌胶ZM24V-100W/(中性标)</t>
  </si>
  <si>
    <t>x1745545221</t>
  </si>
  <si>
    <t>G系列照明不灌胶ZM24V-200W/(中性标)</t>
  </si>
  <si>
    <t>x1745545169</t>
  </si>
  <si>
    <t>G系列照明不灌胶ZM24V-300W/(中性标)</t>
  </si>
  <si>
    <t>x1736817377</t>
  </si>
  <si>
    <t>G系列照明(不灌胶)ZM24V-400W/(中性标)</t>
  </si>
  <si>
    <t>x1739947074</t>
  </si>
  <si>
    <t>G系列联保LB24V-60W(中性标)/(尺寸125*25.5*24mm)</t>
  </si>
  <si>
    <t>x1746671293</t>
  </si>
  <si>
    <t>G系列联保不灌胶LB12V-300W/(中性标)</t>
  </si>
  <si>
    <t>x1759893488</t>
  </si>
  <si>
    <t>SNGD12V-100W室内灌胶电源/(尺寸145*49*28mm)</t>
  </si>
  <si>
    <t>x1757581774</t>
  </si>
  <si>
    <t>SNGD24V-100W室内灌胶电源/(尺寸145*49*28mm)</t>
  </si>
  <si>
    <t>x1759893464</t>
  </si>
  <si>
    <t>SNGD12V-200W室内灌胶电源/(尺寸185*49*28mm)</t>
  </si>
  <si>
    <t>x1757129458</t>
  </si>
  <si>
    <t>SNGD24V-200W室内灌胶电源/(尺寸185*49*28mm)</t>
  </si>
  <si>
    <t>x1757587155</t>
  </si>
  <si>
    <t>SNGD12V-300W室内灌胶电源/(尺寸192*60*28mm)</t>
  </si>
  <si>
    <t>x1757587107</t>
  </si>
  <si>
    <t>SNGD24V-300W室内灌胶电源/(尺寸192*60*28mm)</t>
  </si>
  <si>
    <t>x1756292383</t>
  </si>
  <si>
    <t>SNGD12V-400W室内灌胶电源/(尺寸222*60*28mm)</t>
  </si>
  <si>
    <t>x1756439094</t>
  </si>
  <si>
    <t>SNGD24V-400W室内灌胶电源/(尺寸222*60*28mm)</t>
  </si>
  <si>
    <t>x1762320685</t>
  </si>
  <si>
    <t>SNGB12V-100W室内灌胶电源/(尺寸145*49*31mm)</t>
  </si>
  <si>
    <t>x1767861290</t>
  </si>
  <si>
    <t>SNGB12V-100W/联保灌胶电源(老款G系列)</t>
  </si>
  <si>
    <t>x1762320716</t>
  </si>
  <si>
    <t>SNGB24V-100W室内灌胶电源/(尺寸145*49*31mm)</t>
  </si>
  <si>
    <t>x1762227533</t>
  </si>
  <si>
    <t>SNGB12V-200W室内灌胶电源/(尺寸185*49*31mm)</t>
  </si>
  <si>
    <t>x1767861052</t>
  </si>
  <si>
    <t>SNGB12V-200W/联保灌胶电源(老款G系列)</t>
  </si>
  <si>
    <t>x1762227585</t>
  </si>
  <si>
    <t>SNGB24V-200W室内灌胶电源/(尺寸185*49*31mm)</t>
  </si>
  <si>
    <t>x1761805041</t>
  </si>
  <si>
    <t>SNGB12V-300W室内灌胶电源/(尺寸192*60*31mm)</t>
  </si>
  <si>
    <t>x1761805067</t>
  </si>
  <si>
    <t>SNGB24V-300W室内灌胶电源/(尺寸192*60*31mm)</t>
  </si>
  <si>
    <t>x1761125821</t>
  </si>
  <si>
    <t>SNGB12V-400W室内灌胶电源/(尺寸222*60*31mm)</t>
  </si>
  <si>
    <t>x1761125834</t>
  </si>
  <si>
    <t>SNGB24V-400W室内灌胶电源/(尺寸222*60*31mm)</t>
  </si>
  <si>
    <t>半灌胶</t>
  </si>
  <si>
    <t>x1748050624</t>
  </si>
  <si>
    <t>A款半灌胶24V-400W(360W)(防雨电源(带防护网)</t>
  </si>
  <si>
    <t>A25B25C25半灌胶</t>
  </si>
  <si>
    <t>x1743476108</t>
  </si>
  <si>
    <t>A25半灌胶400W-12V防雨电源</t>
  </si>
  <si>
    <t>半灌胶只有打螺丝，不用盖盖</t>
  </si>
  <si>
    <t>x1748054160</t>
  </si>
  <si>
    <t>A25半灌胶400W-12V防雨电源-OSRAM</t>
  </si>
  <si>
    <t>x1748053834</t>
  </si>
  <si>
    <t>A25半灌胶400W-12V防雨电源-SEOUL</t>
  </si>
  <si>
    <t>x1743667163</t>
  </si>
  <si>
    <t>A25半灌胶24V-400W(360W)防雨电源</t>
  </si>
  <si>
    <t>x1743476261</t>
  </si>
  <si>
    <t>B25半灌胶400W-12V防雨电源</t>
  </si>
  <si>
    <t>x1749629973</t>
  </si>
  <si>
    <t>B25半灌胶30V-400W(350W)防雨电源</t>
  </si>
  <si>
    <t>x1761897113</t>
  </si>
  <si>
    <t>B25半灌胶36V-400W(360W)防雨电源</t>
  </si>
  <si>
    <t>x1753432181</t>
  </si>
  <si>
    <t>C25半灌胶400W-12V(280W)防雨电源</t>
  </si>
  <si>
    <t>x1752635519</t>
  </si>
  <si>
    <t>C25半灌胶400W-24V防雨电源</t>
  </si>
  <si>
    <t>x1740704261</t>
  </si>
  <si>
    <t>龙腾半灌胶12V-400W防雨电源(尺寸L196*W114*H50mm)</t>
  </si>
  <si>
    <t>龙腾半灌胶打螺丝和盖盖一共0.35</t>
  </si>
  <si>
    <t>x1740704212</t>
  </si>
  <si>
    <t>龙腾半灌胶24V-400W防雨电源</t>
  </si>
  <si>
    <t>x1735298011</t>
  </si>
  <si>
    <t>龙腾半灌胶12V-400W双色智控电源</t>
  </si>
  <si>
    <t>x1735291953</t>
  </si>
  <si>
    <t>龙腾半灌胶24V-400W双色智控电源</t>
  </si>
  <si>
    <t>x1743583538</t>
  </si>
  <si>
    <t>银龙半灌胶24V-400W双色智控电源</t>
  </si>
  <si>
    <t>x1743583522</t>
  </si>
  <si>
    <t>银龙半灌胶12V-400W双色智控电源</t>
  </si>
  <si>
    <t>x1749776861</t>
  </si>
  <si>
    <t>HMT静音灌胶24V-400W双色智控电源</t>
  </si>
  <si>
    <t>x1754700459</t>
  </si>
  <si>
    <t>银龙A半灌胶12V-300W(300W)防雨电源</t>
  </si>
  <si>
    <t>银龙半灌胶打螺丝和盖盖一共0.35</t>
  </si>
  <si>
    <t>x1754719876</t>
  </si>
  <si>
    <t>银龙A半灌胶12V-400W(400W)防雨电源</t>
  </si>
  <si>
    <t>x1743036431</t>
  </si>
  <si>
    <t>银龙A半灌胶12V-600防雨电源(银白色)</t>
  </si>
  <si>
    <t>x1743035897</t>
  </si>
  <si>
    <t>银龙B半灌胶12V-600防雨电源(银白色)</t>
  </si>
  <si>
    <t>x1747720807</t>
  </si>
  <si>
    <t>银龙B半灌胶24V-600W(520W)防雨电源</t>
  </si>
  <si>
    <t>x1764301408</t>
  </si>
  <si>
    <t>半灌胶电源12V-1000W(850W)</t>
  </si>
  <si>
    <t>新品还没有做/估处</t>
  </si>
  <si>
    <t>x1764301598</t>
  </si>
  <si>
    <t>半灌胶电源24V-1000W</t>
  </si>
  <si>
    <t>新品还没有做</t>
  </si>
  <si>
    <t>x1764301610</t>
  </si>
  <si>
    <t>半灌胶电源36V-1000W</t>
  </si>
  <si>
    <t>x1764657414</t>
  </si>
  <si>
    <t>半灌胶电源48V-1000W</t>
  </si>
  <si>
    <t>x1750297418</t>
  </si>
  <si>
    <t>HMT静音12V-400W(320W)半灌胶防雨电源</t>
  </si>
  <si>
    <t>与龙腾半灌胶一样</t>
  </si>
  <si>
    <t>x1750295813</t>
  </si>
  <si>
    <t>HMT静音24V-400W(360W)半灌胶防雨电源</t>
  </si>
  <si>
    <t>x1765448366</t>
  </si>
  <si>
    <t>BGLB12V-400W(350W)半灌胶电源</t>
  </si>
  <si>
    <t>x1765448407</t>
  </si>
  <si>
    <t>BGLB24V-400W(400W)半灌胶电源</t>
  </si>
  <si>
    <t>x1763619718</t>
  </si>
  <si>
    <t>卡布灯箱电源/12V-400W(静音)(尺寸L373*W53*H22mm)</t>
  </si>
  <si>
    <t>x1768375583</t>
  </si>
  <si>
    <t>SSJY12V-400盛世半灌胶静音防雨电源</t>
  </si>
  <si>
    <t>x1768812357</t>
  </si>
  <si>
    <t>SSJY24V-400盛世半灌胶静音防雨电源</t>
  </si>
  <si>
    <t>x1765188224</t>
  </si>
  <si>
    <t>SSKB12V-400W盛世室内超薄静音电源(尺寸L348*W55*H21.5mm)</t>
  </si>
  <si>
    <t>主流</t>
  </si>
  <si>
    <t>x1747116429</t>
  </si>
  <si>
    <t>香槟款防雨电源12V-400W(尺寸L192*W117*H51mm)香槟外壳-RP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</si>
</sst>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_ "/>
  </numFmts>
  <fonts count="9" x14ac:knownFonts="1">
    <font>
      <sz val="11"/>
      <color theme="1"/>
      <name val="等线"/>
      <charset val="134"/>
      <scheme val="minor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color rgb="FF00B050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78" fontId="2" fillId="2" borderId="0" xfId="0" applyNumberFormat="1" applyFont="1" applyFill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78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2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2" defaultPivotStyle="PivotStyleLight16"/>
  <colors>
    <mruColors>
      <color rgb="FF1813EB"/>
      <color rgb="FF000000"/>
      <color rgb="FF00B050"/>
      <color rgb="FF92D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2"/>
  <sheetViews>
    <sheetView tabSelected="1" workbookViewId="0">
      <pane ySplit="2" topLeftCell="A3" activePane="bottomLeft" state="frozen"/>
      <selection pane="bottomLeft" activeCell="AE1" sqref="AE1:AG1048576"/>
    </sheetView>
  </sheetViews>
  <sheetFormatPr defaultColWidth="9" defaultRowHeight="21" customHeight="1" x14ac:dyDescent="0.3"/>
  <cols>
    <col min="1" max="1" width="4.58203125" style="3" customWidth="1"/>
    <col min="2" max="2" width="19.25" style="3" customWidth="1"/>
    <col min="3" max="3" width="11.75" style="3" customWidth="1"/>
    <col min="4" max="4" width="46.75" style="3" customWidth="1"/>
    <col min="5" max="5" width="11.58203125" style="3" customWidth="1"/>
    <col min="6" max="6" width="7.33203125" style="3" customWidth="1"/>
    <col min="7" max="7" width="7.25" style="3" customWidth="1"/>
    <col min="8" max="8" width="9.75" style="3" customWidth="1"/>
    <col min="9" max="9" width="8.75" style="3" customWidth="1"/>
    <col min="10" max="10" width="8.25" style="3" customWidth="1"/>
    <col min="11" max="11" width="10.5" style="3" customWidth="1"/>
    <col min="12" max="12" width="8.58203125" style="5" customWidth="1"/>
    <col min="13" max="13" width="8" style="5" customWidth="1"/>
    <col min="14" max="14" width="8" style="6" customWidth="1"/>
    <col min="15" max="15" width="7.33203125" style="5" customWidth="1"/>
    <col min="16" max="16" width="7.08203125" style="5" customWidth="1"/>
    <col min="17" max="17" width="8.75" style="5" customWidth="1"/>
    <col min="18" max="18" width="8.25" style="5" customWidth="1"/>
    <col min="19" max="19" width="8.83203125" style="5" customWidth="1"/>
    <col min="20" max="20" width="8.08203125" style="5" customWidth="1"/>
    <col min="21" max="21" width="7.08203125" style="5" customWidth="1"/>
    <col min="22" max="22" width="7.83203125" style="5" customWidth="1"/>
    <col min="23" max="23" width="8.75" style="5" customWidth="1"/>
    <col min="24" max="24" width="7.58203125" style="5" customWidth="1"/>
    <col min="25" max="25" width="7.5" style="5" customWidth="1"/>
    <col min="26" max="26" width="7.83203125" style="5" customWidth="1"/>
    <col min="27" max="27" width="8.5" style="5" customWidth="1"/>
    <col min="28" max="28" width="8.83203125" style="5" customWidth="1"/>
    <col min="29" max="29" width="8.75" style="5" customWidth="1"/>
    <col min="30" max="30" width="9.25" style="5" customWidth="1"/>
    <col min="31" max="31" width="11.83203125" style="5" customWidth="1"/>
    <col min="32" max="16384" width="9" style="5"/>
  </cols>
  <sheetData>
    <row r="1" spans="1:30" s="1" customFormat="1" ht="24" customHeight="1" x14ac:dyDescent="0.3">
      <c r="A1" s="7"/>
      <c r="B1" s="7"/>
      <c r="C1" s="7"/>
      <c r="D1" s="7"/>
      <c r="E1" s="7"/>
      <c r="F1" s="20" t="s">
        <v>0</v>
      </c>
      <c r="G1" s="7"/>
      <c r="H1" s="7"/>
      <c r="I1" s="20" t="s">
        <v>1</v>
      </c>
      <c r="J1" s="7"/>
      <c r="K1" s="7"/>
      <c r="L1" s="20" t="s">
        <v>2</v>
      </c>
      <c r="M1" s="7"/>
      <c r="N1" s="7"/>
      <c r="O1" s="20" t="s">
        <v>3</v>
      </c>
      <c r="P1" s="20" t="s">
        <v>4</v>
      </c>
      <c r="Q1" s="20" t="s">
        <v>5</v>
      </c>
      <c r="R1" s="20" t="s">
        <v>6</v>
      </c>
      <c r="S1" s="20" t="s">
        <v>7</v>
      </c>
      <c r="T1" s="20" t="s">
        <v>8</v>
      </c>
      <c r="U1" s="20" t="s">
        <v>9</v>
      </c>
      <c r="V1" s="20" t="s">
        <v>10</v>
      </c>
      <c r="W1" s="20" t="s">
        <v>11</v>
      </c>
      <c r="X1" s="20" t="s">
        <v>12</v>
      </c>
      <c r="Y1" s="20" t="s">
        <v>13</v>
      </c>
      <c r="Z1" s="20" t="s">
        <v>14</v>
      </c>
      <c r="AA1" s="20" t="s">
        <v>15</v>
      </c>
      <c r="AB1" s="20" t="s">
        <v>16</v>
      </c>
      <c r="AC1" s="20" t="s">
        <v>17</v>
      </c>
      <c r="AD1" s="20" t="s">
        <v>18</v>
      </c>
    </row>
    <row r="2" spans="1:30" s="1" customFormat="1" ht="26" customHeight="1" x14ac:dyDescent="0.3">
      <c r="A2" s="8" t="s">
        <v>19</v>
      </c>
      <c r="B2" s="8" t="s">
        <v>20</v>
      </c>
      <c r="C2" s="8" t="s">
        <v>21</v>
      </c>
      <c r="D2" s="8" t="s">
        <v>22</v>
      </c>
      <c r="E2" s="8" t="s">
        <v>23</v>
      </c>
      <c r="F2" s="9" t="s">
        <v>24</v>
      </c>
      <c r="G2" s="8" t="s">
        <v>25</v>
      </c>
      <c r="H2" s="8" t="s">
        <v>26</v>
      </c>
      <c r="I2" s="9" t="s">
        <v>27</v>
      </c>
      <c r="J2" s="8" t="s">
        <v>28</v>
      </c>
      <c r="K2" s="8" t="s">
        <v>29</v>
      </c>
      <c r="L2" s="9" t="s">
        <v>30</v>
      </c>
      <c r="M2" s="8" t="s">
        <v>31</v>
      </c>
      <c r="N2" s="10" t="s">
        <v>32</v>
      </c>
      <c r="O2" s="9" t="s">
        <v>33</v>
      </c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9" t="s">
        <v>41</v>
      </c>
      <c r="X2" s="9" t="s">
        <v>42</v>
      </c>
      <c r="Y2" s="9" t="s">
        <v>43</v>
      </c>
      <c r="Z2" s="9" t="s">
        <v>44</v>
      </c>
      <c r="AA2" s="9" t="s">
        <v>45</v>
      </c>
      <c r="AB2" s="9" t="s">
        <v>46</v>
      </c>
      <c r="AC2" s="9" t="s">
        <v>47</v>
      </c>
      <c r="AD2" s="9" t="s">
        <v>48</v>
      </c>
    </row>
    <row r="3" spans="1:30" s="2" customFormat="1" ht="21" customHeight="1" x14ac:dyDescent="0.3">
      <c r="A3" s="8">
        <v>1</v>
      </c>
      <c r="B3" s="8" t="s">
        <v>49</v>
      </c>
      <c r="C3" s="11" t="s">
        <v>50</v>
      </c>
      <c r="D3" s="11" t="s">
        <v>51</v>
      </c>
      <c r="E3" s="11" t="s">
        <v>52</v>
      </c>
      <c r="F3" s="11">
        <v>22</v>
      </c>
      <c r="G3" s="11">
        <v>6.0000000000000001E-3</v>
      </c>
      <c r="H3" s="11">
        <f t="shared" ref="H3:H66" si="0">+F3*G3</f>
        <v>0.13200000000000001</v>
      </c>
      <c r="I3" s="11">
        <v>34</v>
      </c>
      <c r="J3" s="11">
        <v>5.7999999999999996E-3</v>
      </c>
      <c r="K3" s="11">
        <f t="shared" ref="K3:K66" si="1">+I3*J3</f>
        <v>0.19719999999999999</v>
      </c>
      <c r="L3" s="8">
        <v>25</v>
      </c>
      <c r="M3" s="11">
        <v>1.2E-2</v>
      </c>
      <c r="N3" s="12">
        <f t="shared" ref="N3:N66" si="2">+L3*M3</f>
        <v>0.3</v>
      </c>
      <c r="O3" s="13">
        <v>0.108</v>
      </c>
      <c r="P3" s="13">
        <v>5.5E-2</v>
      </c>
      <c r="Q3" s="13">
        <v>0.52</v>
      </c>
      <c r="R3" s="13">
        <v>7.1999999999999995E-2</v>
      </c>
      <c r="S3" s="13">
        <v>4.1000000000000002E-2</v>
      </c>
      <c r="T3" s="13">
        <v>4.1000000000000002E-2</v>
      </c>
      <c r="U3" s="14">
        <v>0</v>
      </c>
      <c r="V3" s="14">
        <v>0</v>
      </c>
      <c r="W3" s="13">
        <v>0.11</v>
      </c>
      <c r="X3" s="15">
        <v>0</v>
      </c>
      <c r="Y3" s="15">
        <v>0</v>
      </c>
      <c r="Z3" s="15">
        <v>0</v>
      </c>
      <c r="AA3" s="15">
        <v>0</v>
      </c>
      <c r="AB3" s="14">
        <v>0</v>
      </c>
      <c r="AC3" s="14">
        <v>0</v>
      </c>
      <c r="AD3" s="15">
        <v>0</v>
      </c>
    </row>
    <row r="4" spans="1:30" s="2" customFormat="1" ht="21" customHeight="1" x14ac:dyDescent="0.3">
      <c r="A4" s="8">
        <v>2</v>
      </c>
      <c r="B4" s="8" t="s">
        <v>49</v>
      </c>
      <c r="C4" s="11" t="s">
        <v>53</v>
      </c>
      <c r="D4" s="11" t="s">
        <v>54</v>
      </c>
      <c r="E4" s="11" t="s">
        <v>52</v>
      </c>
      <c r="F4" s="11">
        <v>16</v>
      </c>
      <c r="G4" s="11">
        <v>6.0000000000000001E-3</v>
      </c>
      <c r="H4" s="11">
        <f t="shared" si="0"/>
        <v>9.6000000000000002E-2</v>
      </c>
      <c r="I4" s="11">
        <v>35</v>
      </c>
      <c r="J4" s="11">
        <v>5.7999999999999996E-3</v>
      </c>
      <c r="K4" s="11">
        <f t="shared" si="1"/>
        <v>0.20299999999999999</v>
      </c>
      <c r="L4" s="8">
        <v>25</v>
      </c>
      <c r="M4" s="11">
        <v>1.2E-2</v>
      </c>
      <c r="N4" s="12">
        <f t="shared" si="2"/>
        <v>0.3</v>
      </c>
      <c r="O4" s="13">
        <v>0.108</v>
      </c>
      <c r="P4" s="13">
        <v>5.5E-2</v>
      </c>
      <c r="Q4" s="13">
        <v>0.52</v>
      </c>
      <c r="R4" s="13">
        <v>7.1999999999999995E-2</v>
      </c>
      <c r="S4" s="13">
        <v>4.1000000000000002E-2</v>
      </c>
      <c r="T4" s="13">
        <v>4.1000000000000002E-2</v>
      </c>
      <c r="U4" s="14">
        <v>0</v>
      </c>
      <c r="V4" s="14">
        <v>0</v>
      </c>
      <c r="W4" s="13">
        <v>0.11</v>
      </c>
      <c r="X4" s="15">
        <v>0</v>
      </c>
      <c r="Y4" s="15">
        <v>0</v>
      </c>
      <c r="Z4" s="15">
        <v>0</v>
      </c>
      <c r="AA4" s="15">
        <v>0</v>
      </c>
      <c r="AB4" s="14">
        <v>0</v>
      </c>
      <c r="AC4" s="14">
        <v>0</v>
      </c>
      <c r="AD4" s="15">
        <v>0</v>
      </c>
    </row>
    <row r="5" spans="1:30" s="2" customFormat="1" ht="21" customHeight="1" x14ac:dyDescent="0.3">
      <c r="A5" s="8">
        <v>3</v>
      </c>
      <c r="B5" s="8" t="s">
        <v>49</v>
      </c>
      <c r="C5" s="11" t="s">
        <v>55</v>
      </c>
      <c r="D5" s="11" t="s">
        <v>56</v>
      </c>
      <c r="E5" s="11" t="s">
        <v>57</v>
      </c>
      <c r="F5" s="11">
        <v>16</v>
      </c>
      <c r="G5" s="11">
        <v>6.0000000000000001E-3</v>
      </c>
      <c r="H5" s="11">
        <f t="shared" si="0"/>
        <v>9.6000000000000002E-2</v>
      </c>
      <c r="I5" s="11">
        <v>35</v>
      </c>
      <c r="J5" s="11">
        <v>5.7999999999999996E-3</v>
      </c>
      <c r="K5" s="11">
        <f t="shared" si="1"/>
        <v>0.20299999999999999</v>
      </c>
      <c r="L5" s="8">
        <v>25</v>
      </c>
      <c r="M5" s="11">
        <v>1.2E-2</v>
      </c>
      <c r="N5" s="12">
        <f t="shared" si="2"/>
        <v>0.3</v>
      </c>
      <c r="O5" s="13">
        <v>0.108</v>
      </c>
      <c r="P5" s="13">
        <v>5.5E-2</v>
      </c>
      <c r="Q5" s="13">
        <v>0.52</v>
      </c>
      <c r="R5" s="13">
        <v>7.1999999999999995E-2</v>
      </c>
      <c r="S5" s="13">
        <v>4.1000000000000002E-2</v>
      </c>
      <c r="T5" s="13">
        <v>4.1000000000000002E-2</v>
      </c>
      <c r="U5" s="14">
        <v>0</v>
      </c>
      <c r="V5" s="14">
        <v>0</v>
      </c>
      <c r="W5" s="13">
        <v>0.11</v>
      </c>
      <c r="X5" s="15">
        <v>0</v>
      </c>
      <c r="Y5" s="15">
        <v>0</v>
      </c>
      <c r="Z5" s="15">
        <v>0</v>
      </c>
      <c r="AA5" s="15">
        <v>0</v>
      </c>
      <c r="AB5" s="14">
        <v>0</v>
      </c>
      <c r="AC5" s="14">
        <v>0</v>
      </c>
      <c r="AD5" s="15">
        <v>0</v>
      </c>
    </row>
    <row r="6" spans="1:30" s="2" customFormat="1" ht="21" customHeight="1" x14ac:dyDescent="0.3">
      <c r="A6" s="8">
        <v>4</v>
      </c>
      <c r="B6" s="8" t="s">
        <v>49</v>
      </c>
      <c r="C6" s="11" t="s">
        <v>58</v>
      </c>
      <c r="D6" s="11" t="s">
        <v>59</v>
      </c>
      <c r="E6" s="11" t="s">
        <v>57</v>
      </c>
      <c r="F6" s="11">
        <v>16</v>
      </c>
      <c r="G6" s="11">
        <v>6.0000000000000001E-3</v>
      </c>
      <c r="H6" s="11">
        <f t="shared" si="0"/>
        <v>9.6000000000000002E-2</v>
      </c>
      <c r="I6" s="11">
        <v>35</v>
      </c>
      <c r="J6" s="11">
        <v>5.7999999999999996E-3</v>
      </c>
      <c r="K6" s="11">
        <f t="shared" si="1"/>
        <v>0.20299999999999999</v>
      </c>
      <c r="L6" s="8">
        <v>25</v>
      </c>
      <c r="M6" s="11">
        <v>1.2E-2</v>
      </c>
      <c r="N6" s="12">
        <f t="shared" si="2"/>
        <v>0.3</v>
      </c>
      <c r="O6" s="13">
        <v>0.108</v>
      </c>
      <c r="P6" s="13">
        <v>5.5E-2</v>
      </c>
      <c r="Q6" s="13">
        <v>0.52</v>
      </c>
      <c r="R6" s="13">
        <v>7.1999999999999995E-2</v>
      </c>
      <c r="S6" s="13">
        <v>4.1000000000000002E-2</v>
      </c>
      <c r="T6" s="13">
        <v>4.1000000000000002E-2</v>
      </c>
      <c r="U6" s="14">
        <v>0</v>
      </c>
      <c r="V6" s="14">
        <v>0</v>
      </c>
      <c r="W6" s="13">
        <v>0.11</v>
      </c>
      <c r="X6" s="15">
        <v>0</v>
      </c>
      <c r="Y6" s="15">
        <v>0</v>
      </c>
      <c r="Z6" s="15">
        <v>0</v>
      </c>
      <c r="AA6" s="15">
        <v>0</v>
      </c>
      <c r="AB6" s="14">
        <v>0</v>
      </c>
      <c r="AC6" s="14">
        <v>0</v>
      </c>
      <c r="AD6" s="15">
        <v>0</v>
      </c>
    </row>
    <row r="7" spans="1:30" s="2" customFormat="1" ht="21" customHeight="1" x14ac:dyDescent="0.3">
      <c r="A7" s="8">
        <v>5</v>
      </c>
      <c r="B7" s="8" t="s">
        <v>49</v>
      </c>
      <c r="C7" s="11" t="s">
        <v>60</v>
      </c>
      <c r="D7" s="11" t="s">
        <v>61</v>
      </c>
      <c r="E7" s="11" t="s">
        <v>57</v>
      </c>
      <c r="F7" s="11">
        <v>16</v>
      </c>
      <c r="G7" s="11">
        <v>6.0000000000000001E-3</v>
      </c>
      <c r="H7" s="11">
        <f t="shared" si="0"/>
        <v>9.6000000000000002E-2</v>
      </c>
      <c r="I7" s="11">
        <v>35</v>
      </c>
      <c r="J7" s="11">
        <v>5.7999999999999996E-3</v>
      </c>
      <c r="K7" s="11">
        <f t="shared" si="1"/>
        <v>0.20299999999999999</v>
      </c>
      <c r="L7" s="8">
        <v>25</v>
      </c>
      <c r="M7" s="11">
        <v>1.2E-2</v>
      </c>
      <c r="N7" s="12">
        <f t="shared" si="2"/>
        <v>0.3</v>
      </c>
      <c r="O7" s="13">
        <v>0.108</v>
      </c>
      <c r="P7" s="13">
        <v>5.5E-2</v>
      </c>
      <c r="Q7" s="13">
        <v>0.52</v>
      </c>
      <c r="R7" s="13">
        <v>7.1999999999999995E-2</v>
      </c>
      <c r="S7" s="13">
        <v>4.1000000000000002E-2</v>
      </c>
      <c r="T7" s="13">
        <v>4.1000000000000002E-2</v>
      </c>
      <c r="U7" s="14">
        <v>0</v>
      </c>
      <c r="V7" s="14">
        <v>0</v>
      </c>
      <c r="W7" s="13">
        <v>0.11</v>
      </c>
      <c r="X7" s="15">
        <v>0</v>
      </c>
      <c r="Y7" s="15">
        <v>0</v>
      </c>
      <c r="Z7" s="15">
        <v>0</v>
      </c>
      <c r="AA7" s="15">
        <v>0</v>
      </c>
      <c r="AB7" s="14">
        <v>0</v>
      </c>
      <c r="AC7" s="14">
        <v>0</v>
      </c>
      <c r="AD7" s="15">
        <v>0</v>
      </c>
    </row>
    <row r="8" spans="1:30" s="2" customFormat="1" ht="21" customHeight="1" x14ac:dyDescent="0.3">
      <c r="A8" s="8">
        <v>6</v>
      </c>
      <c r="B8" s="8" t="s">
        <v>49</v>
      </c>
      <c r="C8" s="11" t="s">
        <v>62</v>
      </c>
      <c r="D8" s="11" t="s">
        <v>63</v>
      </c>
      <c r="E8" s="11" t="s">
        <v>64</v>
      </c>
      <c r="F8" s="11">
        <v>10</v>
      </c>
      <c r="G8" s="11">
        <v>1.2E-2</v>
      </c>
      <c r="H8" s="11">
        <f t="shared" si="0"/>
        <v>0.12</v>
      </c>
      <c r="I8" s="11">
        <v>57</v>
      </c>
      <c r="J8" s="11">
        <v>5.7999999999999996E-3</v>
      </c>
      <c r="K8" s="11">
        <f t="shared" si="1"/>
        <v>0.3306</v>
      </c>
      <c r="L8" s="8">
        <v>27</v>
      </c>
      <c r="M8" s="11">
        <v>1.2E-2</v>
      </c>
      <c r="N8" s="12">
        <f t="shared" si="2"/>
        <v>0.32400000000000001</v>
      </c>
      <c r="O8" s="13">
        <v>0.108</v>
      </c>
      <c r="P8" s="13">
        <v>5.5E-2</v>
      </c>
      <c r="Q8" s="13">
        <v>0.52</v>
      </c>
      <c r="R8" s="13">
        <v>7.1999999999999995E-2</v>
      </c>
      <c r="S8" s="13">
        <v>4.1000000000000002E-2</v>
      </c>
      <c r="T8" s="13">
        <v>4.1000000000000002E-2</v>
      </c>
      <c r="U8" s="14">
        <v>0</v>
      </c>
      <c r="V8" s="14">
        <v>0</v>
      </c>
      <c r="W8" s="13">
        <v>0.11</v>
      </c>
      <c r="X8" s="15">
        <v>0</v>
      </c>
      <c r="Y8" s="15">
        <v>0</v>
      </c>
      <c r="Z8" s="15">
        <v>0</v>
      </c>
      <c r="AA8" s="15">
        <v>0</v>
      </c>
      <c r="AB8" s="14">
        <v>0</v>
      </c>
      <c r="AC8" s="14">
        <v>0</v>
      </c>
      <c r="AD8" s="15">
        <v>0</v>
      </c>
    </row>
    <row r="9" spans="1:30" s="2" customFormat="1" ht="21" customHeight="1" x14ac:dyDescent="0.3">
      <c r="A9" s="8">
        <v>7</v>
      </c>
      <c r="B9" s="8" t="s">
        <v>49</v>
      </c>
      <c r="C9" s="11" t="s">
        <v>65</v>
      </c>
      <c r="D9" s="11" t="s">
        <v>66</v>
      </c>
      <c r="E9" s="11" t="s">
        <v>67</v>
      </c>
      <c r="F9" s="11">
        <v>20</v>
      </c>
      <c r="G9" s="11">
        <v>6.0000000000000001E-3</v>
      </c>
      <c r="H9" s="11">
        <f t="shared" si="0"/>
        <v>0.12</v>
      </c>
      <c r="I9" s="11">
        <v>35</v>
      </c>
      <c r="J9" s="11">
        <v>5.7999999999999996E-3</v>
      </c>
      <c r="K9" s="11">
        <f t="shared" si="1"/>
        <v>0.20299999999999999</v>
      </c>
      <c r="L9" s="8">
        <v>28</v>
      </c>
      <c r="M9" s="11">
        <v>1.2E-2</v>
      </c>
      <c r="N9" s="12">
        <f t="shared" si="2"/>
        <v>0.33600000000000002</v>
      </c>
      <c r="O9" s="13">
        <v>0.108</v>
      </c>
      <c r="P9" s="13">
        <v>5.5E-2</v>
      </c>
      <c r="Q9" s="13">
        <v>0.52</v>
      </c>
      <c r="R9" s="13">
        <v>7.1999999999999995E-2</v>
      </c>
      <c r="S9" s="13">
        <v>4.1000000000000002E-2</v>
      </c>
      <c r="T9" s="13">
        <v>4.1000000000000002E-2</v>
      </c>
      <c r="U9" s="14">
        <v>0</v>
      </c>
      <c r="V9" s="14">
        <v>0</v>
      </c>
      <c r="W9" s="13">
        <v>0.11</v>
      </c>
      <c r="X9" s="15">
        <v>0</v>
      </c>
      <c r="Y9" s="15">
        <v>0</v>
      </c>
      <c r="Z9" s="15">
        <v>0</v>
      </c>
      <c r="AA9" s="15">
        <v>0</v>
      </c>
      <c r="AB9" s="14">
        <v>0</v>
      </c>
      <c r="AC9" s="14">
        <v>0</v>
      </c>
      <c r="AD9" s="15">
        <v>0</v>
      </c>
    </row>
    <row r="10" spans="1:30" s="2" customFormat="1" ht="21" customHeight="1" x14ac:dyDescent="0.3">
      <c r="A10" s="8">
        <v>8</v>
      </c>
      <c r="B10" s="8" t="s">
        <v>49</v>
      </c>
      <c r="C10" s="11" t="s">
        <v>68</v>
      </c>
      <c r="D10" s="11" t="s">
        <v>69</v>
      </c>
      <c r="E10" s="11" t="s">
        <v>64</v>
      </c>
      <c r="F10" s="11">
        <v>22</v>
      </c>
      <c r="G10" s="11">
        <v>6.0000000000000001E-3</v>
      </c>
      <c r="H10" s="11">
        <f t="shared" si="0"/>
        <v>0.13200000000000001</v>
      </c>
      <c r="I10" s="11">
        <v>35</v>
      </c>
      <c r="J10" s="11">
        <v>5.7999999999999996E-3</v>
      </c>
      <c r="K10" s="11">
        <f t="shared" si="1"/>
        <v>0.20299999999999999</v>
      </c>
      <c r="L10" s="8">
        <v>28</v>
      </c>
      <c r="M10" s="11">
        <v>1.2E-2</v>
      </c>
      <c r="N10" s="12">
        <f t="shared" si="2"/>
        <v>0.33600000000000002</v>
      </c>
      <c r="O10" s="13">
        <v>0.108</v>
      </c>
      <c r="P10" s="13">
        <v>5.5E-2</v>
      </c>
      <c r="Q10" s="13">
        <v>0.52</v>
      </c>
      <c r="R10" s="13">
        <v>7.1999999999999995E-2</v>
      </c>
      <c r="S10" s="13">
        <v>4.1000000000000002E-2</v>
      </c>
      <c r="T10" s="13">
        <v>4.1000000000000002E-2</v>
      </c>
      <c r="U10" s="14">
        <v>0</v>
      </c>
      <c r="V10" s="14">
        <v>0</v>
      </c>
      <c r="W10" s="13">
        <v>0.11</v>
      </c>
      <c r="X10" s="15">
        <v>0</v>
      </c>
      <c r="Y10" s="15">
        <v>0</v>
      </c>
      <c r="Z10" s="15">
        <v>0</v>
      </c>
      <c r="AA10" s="15">
        <v>0</v>
      </c>
      <c r="AB10" s="14">
        <v>0</v>
      </c>
      <c r="AC10" s="14">
        <v>0</v>
      </c>
      <c r="AD10" s="15">
        <v>0</v>
      </c>
    </row>
    <row r="11" spans="1:30" s="2" customFormat="1" ht="21" customHeight="1" x14ac:dyDescent="0.3">
      <c r="A11" s="8">
        <v>9</v>
      </c>
      <c r="B11" s="8" t="s">
        <v>49</v>
      </c>
      <c r="C11" s="11" t="s">
        <v>70</v>
      </c>
      <c r="D11" s="11" t="s">
        <v>71</v>
      </c>
      <c r="E11" s="11" t="s">
        <v>72</v>
      </c>
      <c r="F11" s="11">
        <v>22</v>
      </c>
      <c r="G11" s="11">
        <v>6.0000000000000001E-3</v>
      </c>
      <c r="H11" s="11">
        <f t="shared" si="0"/>
        <v>0.13200000000000001</v>
      </c>
      <c r="I11" s="11">
        <v>35</v>
      </c>
      <c r="J11" s="11">
        <v>5.7999999999999996E-3</v>
      </c>
      <c r="K11" s="11">
        <f t="shared" si="1"/>
        <v>0.20299999999999999</v>
      </c>
      <c r="L11" s="8">
        <v>28</v>
      </c>
      <c r="M11" s="11">
        <v>1.2E-2</v>
      </c>
      <c r="N11" s="12">
        <f t="shared" si="2"/>
        <v>0.33600000000000002</v>
      </c>
      <c r="O11" s="13">
        <v>0.108</v>
      </c>
      <c r="P11" s="13">
        <v>5.5E-2</v>
      </c>
      <c r="Q11" s="13">
        <v>0.52</v>
      </c>
      <c r="R11" s="13">
        <v>7.1999999999999995E-2</v>
      </c>
      <c r="S11" s="13">
        <v>4.1000000000000002E-2</v>
      </c>
      <c r="T11" s="13">
        <v>4.1000000000000002E-2</v>
      </c>
      <c r="U11" s="14">
        <v>0</v>
      </c>
      <c r="V11" s="14">
        <v>0</v>
      </c>
      <c r="W11" s="13">
        <v>0.11</v>
      </c>
      <c r="X11" s="15">
        <v>0</v>
      </c>
      <c r="Y11" s="15">
        <v>0</v>
      </c>
      <c r="Z11" s="15">
        <v>0</v>
      </c>
      <c r="AA11" s="15">
        <v>0</v>
      </c>
      <c r="AB11" s="14">
        <v>0</v>
      </c>
      <c r="AC11" s="14">
        <v>0</v>
      </c>
      <c r="AD11" s="15">
        <v>0</v>
      </c>
    </row>
    <row r="12" spans="1:30" s="2" customFormat="1" ht="21" customHeight="1" x14ac:dyDescent="0.3">
      <c r="A12" s="8">
        <v>10</v>
      </c>
      <c r="B12" s="8" t="s">
        <v>49</v>
      </c>
      <c r="C12" s="11" t="s">
        <v>73</v>
      </c>
      <c r="D12" s="11" t="s">
        <v>74</v>
      </c>
      <c r="E12" s="11" t="s">
        <v>52</v>
      </c>
      <c r="F12" s="11">
        <v>20</v>
      </c>
      <c r="G12" s="11">
        <v>6.0000000000000001E-3</v>
      </c>
      <c r="H12" s="11">
        <f t="shared" si="0"/>
        <v>0.12</v>
      </c>
      <c r="I12" s="11">
        <v>37</v>
      </c>
      <c r="J12" s="11">
        <v>5.7999999999999996E-3</v>
      </c>
      <c r="K12" s="11">
        <f t="shared" si="1"/>
        <v>0.21459999999999999</v>
      </c>
      <c r="L12" s="8">
        <v>27</v>
      </c>
      <c r="M12" s="11">
        <v>1.2E-2</v>
      </c>
      <c r="N12" s="12">
        <f t="shared" si="2"/>
        <v>0.32400000000000001</v>
      </c>
      <c r="O12" s="13">
        <v>0.108</v>
      </c>
      <c r="P12" s="13">
        <v>5.5E-2</v>
      </c>
      <c r="Q12" s="13">
        <v>0.52</v>
      </c>
      <c r="R12" s="13">
        <v>7.1999999999999995E-2</v>
      </c>
      <c r="S12" s="13">
        <v>4.1000000000000002E-2</v>
      </c>
      <c r="T12" s="13">
        <v>4.1000000000000002E-2</v>
      </c>
      <c r="U12" s="14">
        <v>0</v>
      </c>
      <c r="V12" s="14">
        <v>0</v>
      </c>
      <c r="W12" s="13">
        <v>0.11</v>
      </c>
      <c r="X12" s="15">
        <v>0</v>
      </c>
      <c r="Y12" s="15">
        <v>0</v>
      </c>
      <c r="Z12" s="15">
        <v>0</v>
      </c>
      <c r="AA12" s="15">
        <v>0</v>
      </c>
      <c r="AB12" s="14">
        <v>0</v>
      </c>
      <c r="AC12" s="14">
        <v>0</v>
      </c>
      <c r="AD12" s="15">
        <v>0</v>
      </c>
    </row>
    <row r="13" spans="1:30" s="2" customFormat="1" ht="21" customHeight="1" x14ac:dyDescent="0.3">
      <c r="A13" s="8">
        <v>11</v>
      </c>
      <c r="B13" s="8" t="s">
        <v>49</v>
      </c>
      <c r="C13" s="11" t="s">
        <v>75</v>
      </c>
      <c r="D13" s="11" t="s">
        <v>76</v>
      </c>
      <c r="E13" s="11" t="s">
        <v>52</v>
      </c>
      <c r="F13" s="11">
        <v>10</v>
      </c>
      <c r="G13" s="11">
        <v>1.2E-2</v>
      </c>
      <c r="H13" s="11">
        <f t="shared" si="0"/>
        <v>0.12</v>
      </c>
      <c r="I13" s="11">
        <v>53</v>
      </c>
      <c r="J13" s="11">
        <v>5.7999999999999996E-3</v>
      </c>
      <c r="K13" s="11">
        <f t="shared" si="1"/>
        <v>0.30740000000000001</v>
      </c>
      <c r="L13" s="8">
        <v>33</v>
      </c>
      <c r="M13" s="11">
        <v>1.2E-2</v>
      </c>
      <c r="N13" s="12">
        <f t="shared" si="2"/>
        <v>0.39600000000000002</v>
      </c>
      <c r="O13" s="13">
        <v>0.108</v>
      </c>
      <c r="P13" s="13">
        <v>5.5E-2</v>
      </c>
      <c r="Q13" s="13">
        <v>0.52</v>
      </c>
      <c r="R13" s="13">
        <v>7.1999999999999995E-2</v>
      </c>
      <c r="S13" s="13">
        <v>4.1000000000000002E-2</v>
      </c>
      <c r="T13" s="13">
        <v>4.1000000000000002E-2</v>
      </c>
      <c r="U13" s="14">
        <v>0</v>
      </c>
      <c r="V13" s="14">
        <v>0</v>
      </c>
      <c r="W13" s="13">
        <v>0.11</v>
      </c>
      <c r="X13" s="15">
        <v>0</v>
      </c>
      <c r="Y13" s="15">
        <v>0</v>
      </c>
      <c r="Z13" s="15">
        <v>0</v>
      </c>
      <c r="AA13" s="15">
        <v>0</v>
      </c>
      <c r="AB13" s="14">
        <v>0</v>
      </c>
      <c r="AC13" s="14">
        <v>0</v>
      </c>
      <c r="AD13" s="15">
        <v>0</v>
      </c>
    </row>
    <row r="14" spans="1:30" s="2" customFormat="1" ht="21" customHeight="1" x14ac:dyDescent="0.3">
      <c r="A14" s="8">
        <v>12</v>
      </c>
      <c r="B14" s="8" t="s">
        <v>49</v>
      </c>
      <c r="C14" s="11" t="s">
        <v>77</v>
      </c>
      <c r="D14" s="11" t="s">
        <v>78</v>
      </c>
      <c r="E14" s="11" t="s">
        <v>64</v>
      </c>
      <c r="F14" s="11">
        <v>10</v>
      </c>
      <c r="G14" s="11">
        <v>1.2E-2</v>
      </c>
      <c r="H14" s="11">
        <f t="shared" si="0"/>
        <v>0.12</v>
      </c>
      <c r="I14" s="11">
        <v>55</v>
      </c>
      <c r="J14" s="11">
        <v>5.7999999999999996E-3</v>
      </c>
      <c r="K14" s="11">
        <f t="shared" si="1"/>
        <v>0.31899999999999995</v>
      </c>
      <c r="L14" s="8">
        <v>32</v>
      </c>
      <c r="M14" s="11">
        <v>1.2E-2</v>
      </c>
      <c r="N14" s="12">
        <f t="shared" si="2"/>
        <v>0.38400000000000001</v>
      </c>
      <c r="O14" s="13">
        <v>0.108</v>
      </c>
      <c r="P14" s="13">
        <v>5.5E-2</v>
      </c>
      <c r="Q14" s="13">
        <v>0.52</v>
      </c>
      <c r="R14" s="13">
        <v>7.1999999999999995E-2</v>
      </c>
      <c r="S14" s="13">
        <v>4.1000000000000002E-2</v>
      </c>
      <c r="T14" s="13">
        <v>4.1000000000000002E-2</v>
      </c>
      <c r="U14" s="14">
        <v>0</v>
      </c>
      <c r="V14" s="14">
        <v>0</v>
      </c>
      <c r="W14" s="13">
        <v>0.11</v>
      </c>
      <c r="X14" s="15">
        <v>0</v>
      </c>
      <c r="Y14" s="15">
        <v>0</v>
      </c>
      <c r="Z14" s="15">
        <v>0</v>
      </c>
      <c r="AA14" s="15">
        <v>0</v>
      </c>
      <c r="AB14" s="14">
        <v>0</v>
      </c>
      <c r="AC14" s="14">
        <v>0</v>
      </c>
      <c r="AD14" s="15">
        <v>0</v>
      </c>
    </row>
    <row r="15" spans="1:30" s="2" customFormat="1" ht="21" customHeight="1" x14ac:dyDescent="0.3">
      <c r="A15" s="8">
        <v>13</v>
      </c>
      <c r="B15" s="8" t="s">
        <v>49</v>
      </c>
      <c r="C15" s="11" t="s">
        <v>79</v>
      </c>
      <c r="D15" s="11" t="s">
        <v>80</v>
      </c>
      <c r="E15" s="11" t="s">
        <v>64</v>
      </c>
      <c r="F15" s="11">
        <v>10</v>
      </c>
      <c r="G15" s="11">
        <v>1.2E-2</v>
      </c>
      <c r="H15" s="11">
        <f t="shared" si="0"/>
        <v>0.12</v>
      </c>
      <c r="I15" s="11">
        <v>56</v>
      </c>
      <c r="J15" s="11">
        <v>5.7999999999999996E-3</v>
      </c>
      <c r="K15" s="11">
        <f t="shared" si="1"/>
        <v>0.32479999999999998</v>
      </c>
      <c r="L15" s="8">
        <v>32</v>
      </c>
      <c r="M15" s="11">
        <v>1.2E-2</v>
      </c>
      <c r="N15" s="12">
        <f t="shared" si="2"/>
        <v>0.38400000000000001</v>
      </c>
      <c r="O15" s="13">
        <v>0.108</v>
      </c>
      <c r="P15" s="13">
        <v>5.5E-2</v>
      </c>
      <c r="Q15" s="13">
        <v>0.52</v>
      </c>
      <c r="R15" s="13">
        <v>7.1999999999999995E-2</v>
      </c>
      <c r="S15" s="13">
        <v>4.1000000000000002E-2</v>
      </c>
      <c r="T15" s="13">
        <v>4.1000000000000002E-2</v>
      </c>
      <c r="U15" s="14">
        <v>0</v>
      </c>
      <c r="V15" s="14">
        <v>0</v>
      </c>
      <c r="W15" s="13">
        <v>0.11</v>
      </c>
      <c r="X15" s="15">
        <v>0</v>
      </c>
      <c r="Y15" s="15">
        <v>0</v>
      </c>
      <c r="Z15" s="15">
        <v>0</v>
      </c>
      <c r="AA15" s="15">
        <v>0</v>
      </c>
      <c r="AB15" s="14">
        <v>0</v>
      </c>
      <c r="AC15" s="14">
        <v>0</v>
      </c>
      <c r="AD15" s="15">
        <v>0</v>
      </c>
    </row>
    <row r="16" spans="1:30" s="2" customFormat="1" ht="21" customHeight="1" x14ac:dyDescent="0.3">
      <c r="A16" s="8">
        <v>14</v>
      </c>
      <c r="B16" s="8" t="s">
        <v>49</v>
      </c>
      <c r="C16" s="11" t="s">
        <v>81</v>
      </c>
      <c r="D16" s="11" t="s">
        <v>82</v>
      </c>
      <c r="E16" s="11" t="s">
        <v>52</v>
      </c>
      <c r="F16" s="11">
        <v>0</v>
      </c>
      <c r="G16" s="11">
        <v>0</v>
      </c>
      <c r="H16" s="11">
        <f t="shared" si="0"/>
        <v>0</v>
      </c>
      <c r="I16" s="11">
        <v>57</v>
      </c>
      <c r="J16" s="11">
        <v>5.7999999999999996E-3</v>
      </c>
      <c r="K16" s="11">
        <f t="shared" si="1"/>
        <v>0.3306</v>
      </c>
      <c r="L16" s="8">
        <v>46</v>
      </c>
      <c r="M16" s="11">
        <v>1.2E-2</v>
      </c>
      <c r="N16" s="12">
        <f t="shared" si="2"/>
        <v>0.55200000000000005</v>
      </c>
      <c r="O16" s="13">
        <v>0.108</v>
      </c>
      <c r="P16" s="13">
        <v>5.5E-2</v>
      </c>
      <c r="Q16" s="13">
        <v>0.52</v>
      </c>
      <c r="R16" s="13">
        <v>7.1999999999999995E-2</v>
      </c>
      <c r="S16" s="13">
        <v>4.1000000000000002E-2</v>
      </c>
      <c r="T16" s="13">
        <v>4.1000000000000002E-2</v>
      </c>
      <c r="U16" s="14">
        <v>0</v>
      </c>
      <c r="V16" s="14">
        <v>0</v>
      </c>
      <c r="W16" s="13">
        <v>0.11</v>
      </c>
      <c r="X16" s="15">
        <v>0</v>
      </c>
      <c r="Y16" s="15">
        <v>0</v>
      </c>
      <c r="Z16" s="15">
        <v>0</v>
      </c>
      <c r="AA16" s="15">
        <v>0</v>
      </c>
      <c r="AB16" s="14">
        <v>0</v>
      </c>
      <c r="AC16" s="14">
        <v>0</v>
      </c>
      <c r="AD16" s="15">
        <v>0</v>
      </c>
    </row>
    <row r="17" spans="1:30" s="2" customFormat="1" ht="21" customHeight="1" x14ac:dyDescent="0.3">
      <c r="A17" s="8">
        <v>15</v>
      </c>
      <c r="B17" s="8" t="s">
        <v>49</v>
      </c>
      <c r="C17" s="11" t="s">
        <v>83</v>
      </c>
      <c r="D17" s="11" t="s">
        <v>84</v>
      </c>
      <c r="E17" s="11" t="s">
        <v>52</v>
      </c>
      <c r="F17" s="11">
        <v>0</v>
      </c>
      <c r="G17" s="11">
        <v>0</v>
      </c>
      <c r="H17" s="11">
        <f t="shared" si="0"/>
        <v>0</v>
      </c>
      <c r="I17" s="11">
        <v>57</v>
      </c>
      <c r="J17" s="11">
        <v>5.7999999999999996E-3</v>
      </c>
      <c r="K17" s="11">
        <f t="shared" si="1"/>
        <v>0.3306</v>
      </c>
      <c r="L17" s="8">
        <v>46</v>
      </c>
      <c r="M17" s="11">
        <v>1.2E-2</v>
      </c>
      <c r="N17" s="12">
        <f t="shared" si="2"/>
        <v>0.55200000000000005</v>
      </c>
      <c r="O17" s="13">
        <v>0.108</v>
      </c>
      <c r="P17" s="13">
        <v>5.5E-2</v>
      </c>
      <c r="Q17" s="13">
        <v>0.52</v>
      </c>
      <c r="R17" s="13">
        <v>7.1999999999999995E-2</v>
      </c>
      <c r="S17" s="13">
        <v>4.1000000000000002E-2</v>
      </c>
      <c r="T17" s="13">
        <v>4.1000000000000002E-2</v>
      </c>
      <c r="U17" s="14">
        <v>0</v>
      </c>
      <c r="V17" s="14">
        <v>0</v>
      </c>
      <c r="W17" s="13">
        <v>0.11</v>
      </c>
      <c r="X17" s="15">
        <v>0</v>
      </c>
      <c r="Y17" s="15">
        <v>0</v>
      </c>
      <c r="Z17" s="15">
        <v>0</v>
      </c>
      <c r="AA17" s="15">
        <v>0</v>
      </c>
      <c r="AB17" s="14">
        <v>0</v>
      </c>
      <c r="AC17" s="14">
        <v>0</v>
      </c>
      <c r="AD17" s="15">
        <v>0</v>
      </c>
    </row>
    <row r="18" spans="1:30" s="2" customFormat="1" ht="21" customHeight="1" x14ac:dyDescent="0.3">
      <c r="A18" s="8">
        <v>16</v>
      </c>
      <c r="B18" s="8" t="s">
        <v>49</v>
      </c>
      <c r="C18" s="11" t="s">
        <v>85</v>
      </c>
      <c r="D18" s="11" t="s">
        <v>86</v>
      </c>
      <c r="E18" s="11" t="s">
        <v>64</v>
      </c>
      <c r="F18" s="11">
        <v>0</v>
      </c>
      <c r="G18" s="11">
        <v>0</v>
      </c>
      <c r="H18" s="11">
        <f t="shared" si="0"/>
        <v>0</v>
      </c>
      <c r="I18" s="11">
        <v>57</v>
      </c>
      <c r="J18" s="11">
        <v>5.7999999999999996E-3</v>
      </c>
      <c r="K18" s="11">
        <f t="shared" si="1"/>
        <v>0.3306</v>
      </c>
      <c r="L18" s="8">
        <v>46</v>
      </c>
      <c r="M18" s="11">
        <v>1.2E-2</v>
      </c>
      <c r="N18" s="12">
        <f t="shared" si="2"/>
        <v>0.55200000000000005</v>
      </c>
      <c r="O18" s="13">
        <v>0.108</v>
      </c>
      <c r="P18" s="13">
        <v>5.5E-2</v>
      </c>
      <c r="Q18" s="13">
        <v>0.52</v>
      </c>
      <c r="R18" s="13">
        <v>7.1999999999999995E-2</v>
      </c>
      <c r="S18" s="13">
        <v>4.1000000000000002E-2</v>
      </c>
      <c r="T18" s="13">
        <v>4.1000000000000002E-2</v>
      </c>
      <c r="U18" s="14">
        <v>0</v>
      </c>
      <c r="V18" s="14">
        <v>0</v>
      </c>
      <c r="W18" s="13">
        <v>0.11</v>
      </c>
      <c r="X18" s="15">
        <v>0</v>
      </c>
      <c r="Y18" s="15">
        <v>0</v>
      </c>
      <c r="Z18" s="15">
        <v>0</v>
      </c>
      <c r="AA18" s="15">
        <v>0</v>
      </c>
      <c r="AB18" s="14">
        <v>0</v>
      </c>
      <c r="AC18" s="14">
        <v>0</v>
      </c>
      <c r="AD18" s="15">
        <v>0</v>
      </c>
    </row>
    <row r="19" spans="1:30" s="3" customFormat="1" ht="21" customHeight="1" x14ac:dyDescent="0.3">
      <c r="A19" s="8">
        <v>17</v>
      </c>
      <c r="B19" s="8" t="s">
        <v>49</v>
      </c>
      <c r="C19" s="11" t="s">
        <v>87</v>
      </c>
      <c r="D19" s="11" t="s">
        <v>88</v>
      </c>
      <c r="E19" s="11" t="s">
        <v>64</v>
      </c>
      <c r="F19" s="11">
        <v>0</v>
      </c>
      <c r="G19" s="11">
        <v>0</v>
      </c>
      <c r="H19" s="11">
        <f t="shared" si="0"/>
        <v>0</v>
      </c>
      <c r="I19" s="11">
        <v>33</v>
      </c>
      <c r="J19" s="11">
        <v>5.7999999999999996E-3</v>
      </c>
      <c r="K19" s="11">
        <f t="shared" si="1"/>
        <v>0.19139999999999999</v>
      </c>
      <c r="L19" s="11">
        <v>18</v>
      </c>
      <c r="M19" s="11">
        <v>1.2E-2</v>
      </c>
      <c r="N19" s="12">
        <f t="shared" si="2"/>
        <v>0.216</v>
      </c>
      <c r="O19" s="13">
        <v>0.108</v>
      </c>
      <c r="P19" s="13">
        <v>5.5E-2</v>
      </c>
      <c r="Q19" s="13">
        <v>0.52</v>
      </c>
      <c r="R19" s="13">
        <v>7.1999999999999995E-2</v>
      </c>
      <c r="S19" s="13">
        <v>4.1000000000000002E-2</v>
      </c>
      <c r="T19" s="13">
        <v>4.1000000000000002E-2</v>
      </c>
      <c r="U19" s="14">
        <v>0</v>
      </c>
      <c r="V19" s="14">
        <v>0</v>
      </c>
      <c r="W19" s="13">
        <v>0.11</v>
      </c>
      <c r="X19" s="15">
        <v>0</v>
      </c>
      <c r="Y19" s="15">
        <v>0</v>
      </c>
      <c r="Z19" s="15">
        <v>0</v>
      </c>
      <c r="AA19" s="15">
        <v>0</v>
      </c>
      <c r="AB19" s="14">
        <v>0</v>
      </c>
      <c r="AC19" s="14">
        <v>0</v>
      </c>
      <c r="AD19" s="15">
        <v>0</v>
      </c>
    </row>
    <row r="20" spans="1:30" s="3" customFormat="1" ht="21" customHeight="1" x14ac:dyDescent="0.3">
      <c r="A20" s="8">
        <v>18</v>
      </c>
      <c r="B20" s="8" t="s">
        <v>49</v>
      </c>
      <c r="C20" s="11" t="s">
        <v>89</v>
      </c>
      <c r="D20" s="11" t="s">
        <v>90</v>
      </c>
      <c r="E20" s="11" t="s">
        <v>57</v>
      </c>
      <c r="F20" s="11">
        <v>0</v>
      </c>
      <c r="G20" s="11">
        <v>0</v>
      </c>
      <c r="H20" s="11">
        <f t="shared" si="0"/>
        <v>0</v>
      </c>
      <c r="I20" s="11">
        <v>36</v>
      </c>
      <c r="J20" s="11">
        <v>5.7999999999999996E-3</v>
      </c>
      <c r="K20" s="11">
        <f t="shared" si="1"/>
        <v>0.20879999999999999</v>
      </c>
      <c r="L20" s="11">
        <v>18</v>
      </c>
      <c r="M20" s="11">
        <v>1.2E-2</v>
      </c>
      <c r="N20" s="12">
        <f t="shared" si="2"/>
        <v>0.216</v>
      </c>
      <c r="O20" s="13">
        <v>0.108</v>
      </c>
      <c r="P20" s="13">
        <v>5.5E-2</v>
      </c>
      <c r="Q20" s="13">
        <v>0.52</v>
      </c>
      <c r="R20" s="13">
        <v>7.1999999999999995E-2</v>
      </c>
      <c r="S20" s="13">
        <v>4.1000000000000002E-2</v>
      </c>
      <c r="T20" s="13">
        <v>4.1000000000000002E-2</v>
      </c>
      <c r="U20" s="14">
        <v>0</v>
      </c>
      <c r="V20" s="14">
        <v>0</v>
      </c>
      <c r="W20" s="13">
        <v>0.11</v>
      </c>
      <c r="X20" s="15">
        <v>0</v>
      </c>
      <c r="Y20" s="15">
        <v>0</v>
      </c>
      <c r="Z20" s="15">
        <v>0</v>
      </c>
      <c r="AA20" s="15">
        <v>0</v>
      </c>
      <c r="AB20" s="14">
        <v>0</v>
      </c>
      <c r="AC20" s="14">
        <v>0</v>
      </c>
      <c r="AD20" s="15">
        <v>0</v>
      </c>
    </row>
    <row r="21" spans="1:30" s="3" customFormat="1" ht="21" customHeight="1" x14ac:dyDescent="0.3">
      <c r="A21" s="8">
        <v>19</v>
      </c>
      <c r="B21" s="8" t="s">
        <v>49</v>
      </c>
      <c r="C21" s="11" t="s">
        <v>91</v>
      </c>
      <c r="D21" s="11" t="s">
        <v>92</v>
      </c>
      <c r="E21" s="11" t="s">
        <v>93</v>
      </c>
      <c r="F21" s="11">
        <v>0</v>
      </c>
      <c r="G21" s="11">
        <v>0</v>
      </c>
      <c r="H21" s="11">
        <f t="shared" si="0"/>
        <v>0</v>
      </c>
      <c r="I21" s="11">
        <v>36</v>
      </c>
      <c r="J21" s="11">
        <v>5.7999999999999996E-3</v>
      </c>
      <c r="K21" s="11">
        <f t="shared" si="1"/>
        <v>0.20879999999999999</v>
      </c>
      <c r="L21" s="11">
        <v>19</v>
      </c>
      <c r="M21" s="11">
        <v>1.2E-2</v>
      </c>
      <c r="N21" s="12">
        <f t="shared" si="2"/>
        <v>0.22800000000000001</v>
      </c>
      <c r="O21" s="13">
        <v>0.108</v>
      </c>
      <c r="P21" s="13">
        <v>5.5E-2</v>
      </c>
      <c r="Q21" s="13">
        <v>0.52</v>
      </c>
      <c r="R21" s="13">
        <v>7.1999999999999995E-2</v>
      </c>
      <c r="S21" s="13">
        <v>4.1000000000000002E-2</v>
      </c>
      <c r="T21" s="13">
        <v>4.1000000000000002E-2</v>
      </c>
      <c r="U21" s="14">
        <v>0</v>
      </c>
      <c r="V21" s="14">
        <v>0</v>
      </c>
      <c r="W21" s="13">
        <v>0.11</v>
      </c>
      <c r="X21" s="15">
        <v>0</v>
      </c>
      <c r="Y21" s="15">
        <v>0</v>
      </c>
      <c r="Z21" s="15">
        <v>0</v>
      </c>
      <c r="AA21" s="15">
        <v>0</v>
      </c>
      <c r="AB21" s="14">
        <v>0</v>
      </c>
      <c r="AC21" s="14">
        <v>0</v>
      </c>
      <c r="AD21" s="15">
        <v>0</v>
      </c>
    </row>
    <row r="22" spans="1:30" s="3" customFormat="1" ht="21" customHeight="1" x14ac:dyDescent="0.3">
      <c r="A22" s="8">
        <v>20</v>
      </c>
      <c r="B22" s="8" t="s">
        <v>49</v>
      </c>
      <c r="C22" s="11" t="s">
        <v>94</v>
      </c>
      <c r="D22" s="11" t="s">
        <v>95</v>
      </c>
      <c r="E22" s="11" t="s">
        <v>72</v>
      </c>
      <c r="F22" s="11">
        <v>0</v>
      </c>
      <c r="G22" s="11">
        <v>0</v>
      </c>
      <c r="H22" s="11">
        <f t="shared" si="0"/>
        <v>0</v>
      </c>
      <c r="I22" s="11">
        <v>41</v>
      </c>
      <c r="J22" s="11">
        <v>5.7999999999999996E-3</v>
      </c>
      <c r="K22" s="11">
        <f t="shared" si="1"/>
        <v>0.23779999999999998</v>
      </c>
      <c r="L22" s="11">
        <v>22</v>
      </c>
      <c r="M22" s="11">
        <v>1.2E-2</v>
      </c>
      <c r="N22" s="12">
        <f t="shared" si="2"/>
        <v>0.26400000000000001</v>
      </c>
      <c r="O22" s="13">
        <v>0.108</v>
      </c>
      <c r="P22" s="13">
        <v>5.5E-2</v>
      </c>
      <c r="Q22" s="13">
        <v>0.52</v>
      </c>
      <c r="R22" s="13">
        <v>7.1999999999999995E-2</v>
      </c>
      <c r="S22" s="13">
        <v>4.1000000000000002E-2</v>
      </c>
      <c r="T22" s="13">
        <v>4.1000000000000002E-2</v>
      </c>
      <c r="U22" s="14">
        <v>0</v>
      </c>
      <c r="V22" s="14">
        <v>0</v>
      </c>
      <c r="W22" s="13">
        <v>0.11</v>
      </c>
      <c r="X22" s="15">
        <v>0</v>
      </c>
      <c r="Y22" s="15">
        <v>0</v>
      </c>
      <c r="Z22" s="15">
        <v>0</v>
      </c>
      <c r="AA22" s="15">
        <v>0</v>
      </c>
      <c r="AB22" s="14">
        <v>0</v>
      </c>
      <c r="AC22" s="14">
        <v>0</v>
      </c>
      <c r="AD22" s="15">
        <v>0</v>
      </c>
    </row>
    <row r="23" spans="1:30" s="3" customFormat="1" ht="21" customHeight="1" x14ac:dyDescent="0.3">
      <c r="A23" s="8">
        <v>21</v>
      </c>
      <c r="B23" s="8" t="s">
        <v>49</v>
      </c>
      <c r="C23" s="11" t="s">
        <v>96</v>
      </c>
      <c r="D23" s="11" t="s">
        <v>97</v>
      </c>
      <c r="E23" s="11" t="s">
        <v>98</v>
      </c>
      <c r="F23" s="11">
        <v>0</v>
      </c>
      <c r="G23" s="11">
        <v>0</v>
      </c>
      <c r="H23" s="11">
        <f t="shared" si="0"/>
        <v>0</v>
      </c>
      <c r="I23" s="11">
        <v>41</v>
      </c>
      <c r="J23" s="11">
        <v>5.7999999999999996E-3</v>
      </c>
      <c r="K23" s="11">
        <f t="shared" si="1"/>
        <v>0.23779999999999998</v>
      </c>
      <c r="L23" s="11">
        <v>23</v>
      </c>
      <c r="M23" s="11">
        <v>1.2E-2</v>
      </c>
      <c r="N23" s="12">
        <f t="shared" si="2"/>
        <v>0.27600000000000002</v>
      </c>
      <c r="O23" s="13">
        <v>0.108</v>
      </c>
      <c r="P23" s="13">
        <v>5.5E-2</v>
      </c>
      <c r="Q23" s="13">
        <v>0.52</v>
      </c>
      <c r="R23" s="13">
        <v>7.1999999999999995E-2</v>
      </c>
      <c r="S23" s="13">
        <v>4.1000000000000002E-2</v>
      </c>
      <c r="T23" s="13">
        <v>4.1000000000000002E-2</v>
      </c>
      <c r="U23" s="14">
        <v>0</v>
      </c>
      <c r="V23" s="14">
        <v>0</v>
      </c>
      <c r="W23" s="13">
        <v>0.11</v>
      </c>
      <c r="X23" s="15">
        <v>0</v>
      </c>
      <c r="Y23" s="15">
        <v>0</v>
      </c>
      <c r="Z23" s="15">
        <v>0</v>
      </c>
      <c r="AA23" s="15">
        <v>0</v>
      </c>
      <c r="AB23" s="14">
        <v>0</v>
      </c>
      <c r="AC23" s="14">
        <v>0</v>
      </c>
      <c r="AD23" s="15">
        <v>0</v>
      </c>
    </row>
    <row r="24" spans="1:30" s="3" customFormat="1" ht="21" customHeight="1" x14ac:dyDescent="0.3">
      <c r="A24" s="8">
        <v>22</v>
      </c>
      <c r="B24" s="8" t="s">
        <v>49</v>
      </c>
      <c r="C24" s="11" t="s">
        <v>99</v>
      </c>
      <c r="D24" s="11" t="s">
        <v>100</v>
      </c>
      <c r="E24" s="11" t="s">
        <v>98</v>
      </c>
      <c r="F24" s="11">
        <v>0</v>
      </c>
      <c r="G24" s="11">
        <v>0</v>
      </c>
      <c r="H24" s="11">
        <f t="shared" si="0"/>
        <v>0</v>
      </c>
      <c r="I24" s="11">
        <v>44</v>
      </c>
      <c r="J24" s="11">
        <v>5.7999999999999996E-3</v>
      </c>
      <c r="K24" s="11">
        <f t="shared" si="1"/>
        <v>0.25519999999999998</v>
      </c>
      <c r="L24" s="11">
        <v>29</v>
      </c>
      <c r="M24" s="11">
        <v>1.2E-2</v>
      </c>
      <c r="N24" s="12">
        <f t="shared" si="2"/>
        <v>0.34800000000000003</v>
      </c>
      <c r="O24" s="13">
        <v>0.108</v>
      </c>
      <c r="P24" s="13">
        <v>5.5E-2</v>
      </c>
      <c r="Q24" s="13">
        <v>0.52</v>
      </c>
      <c r="R24" s="13">
        <v>7.1999999999999995E-2</v>
      </c>
      <c r="S24" s="13">
        <v>4.1000000000000002E-2</v>
      </c>
      <c r="T24" s="13">
        <v>4.1000000000000002E-2</v>
      </c>
      <c r="U24" s="14">
        <v>0</v>
      </c>
      <c r="V24" s="14">
        <v>0</v>
      </c>
      <c r="W24" s="13">
        <v>0.11</v>
      </c>
      <c r="X24" s="15">
        <v>0</v>
      </c>
      <c r="Y24" s="15">
        <v>0</v>
      </c>
      <c r="Z24" s="15">
        <v>0</v>
      </c>
      <c r="AA24" s="15">
        <v>0</v>
      </c>
      <c r="AB24" s="14">
        <v>0</v>
      </c>
      <c r="AC24" s="14">
        <v>0</v>
      </c>
      <c r="AD24" s="15">
        <v>0</v>
      </c>
    </row>
    <row r="25" spans="1:30" s="3" customFormat="1" ht="21" customHeight="1" x14ac:dyDescent="0.3">
      <c r="A25" s="8">
        <v>23</v>
      </c>
      <c r="B25" s="8" t="s">
        <v>49</v>
      </c>
      <c r="C25" s="11" t="s">
        <v>101</v>
      </c>
      <c r="D25" s="11" t="s">
        <v>102</v>
      </c>
      <c r="E25" s="11" t="s">
        <v>103</v>
      </c>
      <c r="F25" s="11">
        <v>10</v>
      </c>
      <c r="G25" s="11">
        <v>1.2E-2</v>
      </c>
      <c r="H25" s="11">
        <f t="shared" si="0"/>
        <v>0.12</v>
      </c>
      <c r="I25" s="11">
        <v>55</v>
      </c>
      <c r="J25" s="11">
        <v>5.7999999999999996E-3</v>
      </c>
      <c r="K25" s="11">
        <f t="shared" si="1"/>
        <v>0.31899999999999995</v>
      </c>
      <c r="L25" s="11">
        <v>30</v>
      </c>
      <c r="M25" s="11">
        <v>1.2E-2</v>
      </c>
      <c r="N25" s="12">
        <f t="shared" si="2"/>
        <v>0.36</v>
      </c>
      <c r="O25" s="13">
        <v>0.108</v>
      </c>
      <c r="P25" s="13">
        <v>5.5E-2</v>
      </c>
      <c r="Q25" s="13">
        <v>0.52</v>
      </c>
      <c r="R25" s="13">
        <v>7.1999999999999995E-2</v>
      </c>
      <c r="S25" s="13">
        <v>4.1000000000000002E-2</v>
      </c>
      <c r="T25" s="13">
        <v>4.1000000000000002E-2</v>
      </c>
      <c r="U25" s="14">
        <v>0</v>
      </c>
      <c r="V25" s="14">
        <v>0</v>
      </c>
      <c r="W25" s="13">
        <v>0.11</v>
      </c>
      <c r="X25" s="15">
        <v>0</v>
      </c>
      <c r="Y25" s="15">
        <v>0</v>
      </c>
      <c r="Z25" s="15">
        <v>0</v>
      </c>
      <c r="AA25" s="15">
        <v>0</v>
      </c>
      <c r="AB25" s="14">
        <v>0</v>
      </c>
      <c r="AC25" s="14">
        <v>0</v>
      </c>
      <c r="AD25" s="15">
        <v>0</v>
      </c>
    </row>
    <row r="26" spans="1:30" s="3" customFormat="1" ht="21" customHeight="1" x14ac:dyDescent="0.3">
      <c r="A26" s="8">
        <v>24</v>
      </c>
      <c r="B26" s="8" t="s">
        <v>49</v>
      </c>
      <c r="C26" s="11" t="s">
        <v>104</v>
      </c>
      <c r="D26" s="11" t="s">
        <v>105</v>
      </c>
      <c r="E26" s="11" t="s">
        <v>106</v>
      </c>
      <c r="F26" s="11">
        <v>12</v>
      </c>
      <c r="G26" s="11">
        <v>1.2E-2</v>
      </c>
      <c r="H26" s="11">
        <f t="shared" si="0"/>
        <v>0.14400000000000002</v>
      </c>
      <c r="I26" s="11">
        <v>55</v>
      </c>
      <c r="J26" s="11">
        <v>5.7999999999999996E-3</v>
      </c>
      <c r="K26" s="11">
        <f t="shared" si="1"/>
        <v>0.31899999999999995</v>
      </c>
      <c r="L26" s="11">
        <v>30</v>
      </c>
      <c r="M26" s="11">
        <v>1.2E-2</v>
      </c>
      <c r="N26" s="12">
        <f t="shared" si="2"/>
        <v>0.36</v>
      </c>
      <c r="O26" s="13">
        <v>0.108</v>
      </c>
      <c r="P26" s="13">
        <v>5.5E-2</v>
      </c>
      <c r="Q26" s="13">
        <v>0.52</v>
      </c>
      <c r="R26" s="13">
        <v>7.1999999999999995E-2</v>
      </c>
      <c r="S26" s="13">
        <v>4.1000000000000002E-2</v>
      </c>
      <c r="T26" s="13">
        <v>4.1000000000000002E-2</v>
      </c>
      <c r="U26" s="14">
        <v>0</v>
      </c>
      <c r="V26" s="14">
        <v>0</v>
      </c>
      <c r="W26" s="13">
        <v>0.11</v>
      </c>
      <c r="X26" s="15">
        <v>0</v>
      </c>
      <c r="Y26" s="15">
        <v>0</v>
      </c>
      <c r="Z26" s="15">
        <v>0</v>
      </c>
      <c r="AA26" s="15">
        <v>0</v>
      </c>
      <c r="AB26" s="14">
        <v>0</v>
      </c>
      <c r="AC26" s="14">
        <v>0</v>
      </c>
      <c r="AD26" s="15">
        <v>0</v>
      </c>
    </row>
    <row r="27" spans="1:30" s="3" customFormat="1" ht="21" customHeight="1" x14ac:dyDescent="0.3">
      <c r="A27" s="8">
        <v>25</v>
      </c>
      <c r="B27" s="8" t="s">
        <v>49</v>
      </c>
      <c r="C27" s="11" t="s">
        <v>107</v>
      </c>
      <c r="D27" s="11" t="s">
        <v>108</v>
      </c>
      <c r="E27" s="11" t="s">
        <v>106</v>
      </c>
      <c r="F27" s="11">
        <v>10</v>
      </c>
      <c r="G27" s="11">
        <v>1.2E-2</v>
      </c>
      <c r="H27" s="11">
        <f t="shared" si="0"/>
        <v>0.12</v>
      </c>
      <c r="I27" s="11">
        <v>55</v>
      </c>
      <c r="J27" s="11">
        <v>5.7999999999999996E-3</v>
      </c>
      <c r="K27" s="11">
        <f t="shared" si="1"/>
        <v>0.31899999999999995</v>
      </c>
      <c r="L27" s="11">
        <v>30</v>
      </c>
      <c r="M27" s="11">
        <v>1.2E-2</v>
      </c>
      <c r="N27" s="12">
        <f t="shared" si="2"/>
        <v>0.36</v>
      </c>
      <c r="O27" s="13">
        <v>0.108</v>
      </c>
      <c r="P27" s="13">
        <v>5.5E-2</v>
      </c>
      <c r="Q27" s="13">
        <v>0.52</v>
      </c>
      <c r="R27" s="13">
        <v>7.1999999999999995E-2</v>
      </c>
      <c r="S27" s="13">
        <v>4.1000000000000002E-2</v>
      </c>
      <c r="T27" s="13">
        <v>4.1000000000000002E-2</v>
      </c>
      <c r="U27" s="14">
        <v>0</v>
      </c>
      <c r="V27" s="14">
        <v>0</v>
      </c>
      <c r="W27" s="13">
        <v>0.11</v>
      </c>
      <c r="X27" s="15">
        <v>0</v>
      </c>
      <c r="Y27" s="15">
        <v>0</v>
      </c>
      <c r="Z27" s="15">
        <v>0</v>
      </c>
      <c r="AA27" s="15">
        <v>0</v>
      </c>
      <c r="AB27" s="14">
        <v>0</v>
      </c>
      <c r="AC27" s="14">
        <v>0</v>
      </c>
      <c r="AD27" s="15">
        <v>0</v>
      </c>
    </row>
    <row r="28" spans="1:30" s="3" customFormat="1" ht="21" customHeight="1" x14ac:dyDescent="0.3">
      <c r="A28" s="8">
        <v>26</v>
      </c>
      <c r="B28" s="8" t="s">
        <v>49</v>
      </c>
      <c r="C28" s="11" t="s">
        <v>109</v>
      </c>
      <c r="D28" s="11" t="s">
        <v>110</v>
      </c>
      <c r="E28" s="11" t="s">
        <v>106</v>
      </c>
      <c r="F28" s="11">
        <v>12</v>
      </c>
      <c r="G28" s="11">
        <v>1.2E-2</v>
      </c>
      <c r="H28" s="11">
        <f t="shared" si="0"/>
        <v>0.14400000000000002</v>
      </c>
      <c r="I28" s="11">
        <v>55</v>
      </c>
      <c r="J28" s="11">
        <v>5.7999999999999996E-3</v>
      </c>
      <c r="K28" s="11">
        <f t="shared" si="1"/>
        <v>0.31899999999999995</v>
      </c>
      <c r="L28" s="11">
        <v>30</v>
      </c>
      <c r="M28" s="11">
        <v>1.2E-2</v>
      </c>
      <c r="N28" s="12">
        <f t="shared" si="2"/>
        <v>0.36</v>
      </c>
      <c r="O28" s="13">
        <v>0.108</v>
      </c>
      <c r="P28" s="13">
        <v>5.5E-2</v>
      </c>
      <c r="Q28" s="13">
        <v>0.52</v>
      </c>
      <c r="R28" s="13">
        <v>7.1999999999999995E-2</v>
      </c>
      <c r="S28" s="13">
        <v>4.1000000000000002E-2</v>
      </c>
      <c r="T28" s="13">
        <v>4.1000000000000002E-2</v>
      </c>
      <c r="U28" s="14">
        <v>0</v>
      </c>
      <c r="V28" s="14">
        <v>0</v>
      </c>
      <c r="W28" s="13">
        <v>0.11</v>
      </c>
      <c r="X28" s="15">
        <v>0</v>
      </c>
      <c r="Y28" s="15">
        <v>0</v>
      </c>
      <c r="Z28" s="15">
        <v>0</v>
      </c>
      <c r="AA28" s="15">
        <v>0</v>
      </c>
      <c r="AB28" s="14">
        <v>0</v>
      </c>
      <c r="AC28" s="14">
        <v>0</v>
      </c>
      <c r="AD28" s="15">
        <v>0</v>
      </c>
    </row>
    <row r="29" spans="1:30" s="3" customFormat="1" ht="21" customHeight="1" x14ac:dyDescent="0.3">
      <c r="A29" s="8">
        <v>27</v>
      </c>
      <c r="B29" s="8" t="s">
        <v>49</v>
      </c>
      <c r="C29" s="11" t="s">
        <v>111</v>
      </c>
      <c r="D29" s="11" t="s">
        <v>112</v>
      </c>
      <c r="E29" s="11" t="s">
        <v>106</v>
      </c>
      <c r="F29" s="11">
        <v>13</v>
      </c>
      <c r="G29" s="11">
        <v>6.0000000000000001E-3</v>
      </c>
      <c r="H29" s="11">
        <f t="shared" si="0"/>
        <v>7.8E-2</v>
      </c>
      <c r="I29" s="11">
        <v>40</v>
      </c>
      <c r="J29" s="11">
        <v>5.7999999999999996E-3</v>
      </c>
      <c r="K29" s="11">
        <f t="shared" si="1"/>
        <v>0.23199999999999998</v>
      </c>
      <c r="L29" s="11">
        <v>32</v>
      </c>
      <c r="M29" s="11">
        <v>1.2E-2</v>
      </c>
      <c r="N29" s="12">
        <f t="shared" si="2"/>
        <v>0.38400000000000001</v>
      </c>
      <c r="O29" s="13">
        <v>0.108</v>
      </c>
      <c r="P29" s="13">
        <v>5.5E-2</v>
      </c>
      <c r="Q29" s="13">
        <v>0.52</v>
      </c>
      <c r="R29" s="13">
        <v>7.1999999999999995E-2</v>
      </c>
      <c r="S29" s="13">
        <v>4.1000000000000002E-2</v>
      </c>
      <c r="T29" s="13">
        <v>4.1000000000000002E-2</v>
      </c>
      <c r="U29" s="14">
        <v>0</v>
      </c>
      <c r="V29" s="14">
        <v>0</v>
      </c>
      <c r="W29" s="13">
        <v>0.11</v>
      </c>
      <c r="X29" s="15">
        <v>0</v>
      </c>
      <c r="Y29" s="15">
        <v>0</v>
      </c>
      <c r="Z29" s="15">
        <v>0</v>
      </c>
      <c r="AA29" s="15">
        <v>0</v>
      </c>
      <c r="AB29" s="14">
        <v>0</v>
      </c>
      <c r="AC29" s="14">
        <v>0</v>
      </c>
      <c r="AD29" s="15">
        <v>0</v>
      </c>
    </row>
    <row r="30" spans="1:30" s="3" customFormat="1" ht="21" customHeight="1" x14ac:dyDescent="0.3">
      <c r="A30" s="8">
        <v>28</v>
      </c>
      <c r="B30" s="8" t="s">
        <v>49</v>
      </c>
      <c r="C30" s="11" t="s">
        <v>113</v>
      </c>
      <c r="D30" s="11" t="s">
        <v>114</v>
      </c>
      <c r="E30" s="11" t="s">
        <v>103</v>
      </c>
      <c r="F30" s="11">
        <v>10</v>
      </c>
      <c r="G30" s="11">
        <v>1.2E-2</v>
      </c>
      <c r="H30" s="11">
        <f t="shared" si="0"/>
        <v>0.12</v>
      </c>
      <c r="I30" s="11">
        <v>55</v>
      </c>
      <c r="J30" s="11">
        <v>5.7999999999999996E-3</v>
      </c>
      <c r="K30" s="11">
        <f t="shared" si="1"/>
        <v>0.31899999999999995</v>
      </c>
      <c r="L30" s="11">
        <v>31</v>
      </c>
      <c r="M30" s="11">
        <v>1.2E-2</v>
      </c>
      <c r="N30" s="12">
        <f t="shared" si="2"/>
        <v>0.372</v>
      </c>
      <c r="O30" s="13">
        <v>0.108</v>
      </c>
      <c r="P30" s="13">
        <v>5.5E-2</v>
      </c>
      <c r="Q30" s="13">
        <v>0.52</v>
      </c>
      <c r="R30" s="13">
        <v>7.1999999999999995E-2</v>
      </c>
      <c r="S30" s="13">
        <v>4.1000000000000002E-2</v>
      </c>
      <c r="T30" s="13">
        <v>4.1000000000000002E-2</v>
      </c>
      <c r="U30" s="14">
        <v>0</v>
      </c>
      <c r="V30" s="14">
        <v>0</v>
      </c>
      <c r="W30" s="13">
        <v>0.11</v>
      </c>
      <c r="X30" s="15">
        <v>0</v>
      </c>
      <c r="Y30" s="15">
        <v>0</v>
      </c>
      <c r="Z30" s="15">
        <v>0</v>
      </c>
      <c r="AA30" s="15">
        <v>0</v>
      </c>
      <c r="AB30" s="14">
        <v>0</v>
      </c>
      <c r="AC30" s="14">
        <v>0</v>
      </c>
      <c r="AD30" s="15">
        <v>0</v>
      </c>
    </row>
    <row r="31" spans="1:30" s="3" customFormat="1" ht="21" customHeight="1" x14ac:dyDescent="0.3">
      <c r="A31" s="8">
        <v>29</v>
      </c>
      <c r="B31" s="8" t="s">
        <v>49</v>
      </c>
      <c r="C31" s="11" t="s">
        <v>115</v>
      </c>
      <c r="D31" s="11" t="s">
        <v>116</v>
      </c>
      <c r="E31" s="11" t="s">
        <v>106</v>
      </c>
      <c r="F31" s="11">
        <v>16</v>
      </c>
      <c r="G31" s="11">
        <v>6.0000000000000001E-3</v>
      </c>
      <c r="H31" s="11">
        <f t="shared" si="0"/>
        <v>9.6000000000000002E-2</v>
      </c>
      <c r="I31" s="11">
        <v>27</v>
      </c>
      <c r="J31" s="11">
        <v>5.7999999999999996E-3</v>
      </c>
      <c r="K31" s="11">
        <f t="shared" si="1"/>
        <v>0.15659999999999999</v>
      </c>
      <c r="L31" s="11">
        <v>24</v>
      </c>
      <c r="M31" s="11">
        <v>1.2E-2</v>
      </c>
      <c r="N31" s="12">
        <f t="shared" si="2"/>
        <v>0.28800000000000003</v>
      </c>
      <c r="O31" s="13">
        <v>0.108</v>
      </c>
      <c r="P31" s="13">
        <v>5.5E-2</v>
      </c>
      <c r="Q31" s="13">
        <v>0.52</v>
      </c>
      <c r="R31" s="13">
        <v>7.1999999999999995E-2</v>
      </c>
      <c r="S31" s="13">
        <v>4.1000000000000002E-2</v>
      </c>
      <c r="T31" s="13">
        <v>4.1000000000000002E-2</v>
      </c>
      <c r="U31" s="14">
        <v>0</v>
      </c>
      <c r="V31" s="14">
        <v>0</v>
      </c>
      <c r="W31" s="13">
        <v>0.11</v>
      </c>
      <c r="X31" s="15">
        <v>0</v>
      </c>
      <c r="Y31" s="15">
        <v>0</v>
      </c>
      <c r="Z31" s="15">
        <v>0</v>
      </c>
      <c r="AA31" s="15">
        <v>0</v>
      </c>
      <c r="AB31" s="14">
        <v>0</v>
      </c>
      <c r="AC31" s="14">
        <v>0</v>
      </c>
      <c r="AD31" s="15">
        <v>0</v>
      </c>
    </row>
    <row r="32" spans="1:30" s="3" customFormat="1" ht="21" customHeight="1" x14ac:dyDescent="0.3">
      <c r="A32" s="8">
        <v>30</v>
      </c>
      <c r="B32" s="8" t="s">
        <v>49</v>
      </c>
      <c r="C32" s="11" t="s">
        <v>117</v>
      </c>
      <c r="D32" s="11" t="s">
        <v>118</v>
      </c>
      <c r="E32" s="11" t="s">
        <v>103</v>
      </c>
      <c r="F32" s="11">
        <v>7</v>
      </c>
      <c r="G32" s="11">
        <v>1.2E-2</v>
      </c>
      <c r="H32" s="11">
        <f t="shared" si="0"/>
        <v>8.4000000000000005E-2</v>
      </c>
      <c r="I32" s="11">
        <v>55</v>
      </c>
      <c r="J32" s="11">
        <v>5.7999999999999996E-3</v>
      </c>
      <c r="K32" s="11">
        <f t="shared" si="1"/>
        <v>0.31899999999999995</v>
      </c>
      <c r="L32" s="11">
        <v>28</v>
      </c>
      <c r="M32" s="11">
        <v>1.2E-2</v>
      </c>
      <c r="N32" s="12">
        <f t="shared" si="2"/>
        <v>0.33600000000000002</v>
      </c>
      <c r="O32" s="13">
        <v>0.108</v>
      </c>
      <c r="P32" s="13">
        <v>5.5E-2</v>
      </c>
      <c r="Q32" s="13">
        <v>0.52</v>
      </c>
      <c r="R32" s="13">
        <v>7.1999999999999995E-2</v>
      </c>
      <c r="S32" s="13">
        <v>4.1000000000000002E-2</v>
      </c>
      <c r="T32" s="13">
        <v>4.1000000000000002E-2</v>
      </c>
      <c r="U32" s="14">
        <v>0</v>
      </c>
      <c r="V32" s="14">
        <v>0</v>
      </c>
      <c r="W32" s="13">
        <v>0.11</v>
      </c>
      <c r="X32" s="15">
        <v>0</v>
      </c>
      <c r="Y32" s="15">
        <v>0</v>
      </c>
      <c r="Z32" s="15">
        <v>0</v>
      </c>
      <c r="AA32" s="15">
        <v>0</v>
      </c>
      <c r="AB32" s="14">
        <v>0</v>
      </c>
      <c r="AC32" s="14">
        <v>0</v>
      </c>
      <c r="AD32" s="15">
        <v>0</v>
      </c>
    </row>
    <row r="33" spans="1:30" s="3" customFormat="1" ht="21" customHeight="1" x14ac:dyDescent="0.3">
      <c r="A33" s="8">
        <v>31</v>
      </c>
      <c r="B33" s="8" t="s">
        <v>49</v>
      </c>
      <c r="C33" s="8">
        <v>1030305130</v>
      </c>
      <c r="D33" s="11" t="s">
        <v>119</v>
      </c>
      <c r="E33" s="11" t="s">
        <v>52</v>
      </c>
      <c r="F33" s="11">
        <v>0</v>
      </c>
      <c r="G33" s="11">
        <v>0</v>
      </c>
      <c r="H33" s="11">
        <f t="shared" si="0"/>
        <v>0</v>
      </c>
      <c r="I33" s="11">
        <v>0</v>
      </c>
      <c r="J33" s="11">
        <v>5.7999999999999996E-3</v>
      </c>
      <c r="K33" s="11">
        <f t="shared" si="1"/>
        <v>0</v>
      </c>
      <c r="L33" s="11">
        <v>18</v>
      </c>
      <c r="M33" s="11">
        <v>1.2E-2</v>
      </c>
      <c r="N33" s="12">
        <f t="shared" si="2"/>
        <v>0.216</v>
      </c>
      <c r="O33" s="13">
        <v>0.108</v>
      </c>
      <c r="P33" s="13">
        <v>5.5E-2</v>
      </c>
      <c r="Q33" s="13">
        <v>0.52</v>
      </c>
      <c r="R33" s="13">
        <v>7.1999999999999995E-2</v>
      </c>
      <c r="S33" s="13">
        <v>4.1000000000000002E-2</v>
      </c>
      <c r="T33" s="13">
        <v>4.1000000000000002E-2</v>
      </c>
      <c r="U33" s="14">
        <v>0</v>
      </c>
      <c r="V33" s="14">
        <v>0</v>
      </c>
      <c r="W33" s="13">
        <v>0.11</v>
      </c>
      <c r="X33" s="15">
        <v>0</v>
      </c>
      <c r="Y33" s="15">
        <v>0</v>
      </c>
      <c r="Z33" s="15">
        <v>0</v>
      </c>
      <c r="AA33" s="15">
        <v>0</v>
      </c>
      <c r="AB33" s="14">
        <v>0</v>
      </c>
      <c r="AC33" s="14">
        <v>0</v>
      </c>
      <c r="AD33" s="15">
        <v>0</v>
      </c>
    </row>
    <row r="34" spans="1:30" s="3" customFormat="1" ht="21" customHeight="1" x14ac:dyDescent="0.3">
      <c r="A34" s="8">
        <v>32</v>
      </c>
      <c r="B34" s="8" t="s">
        <v>49</v>
      </c>
      <c r="C34" s="16">
        <v>1030307130</v>
      </c>
      <c r="D34" s="11" t="s">
        <v>120</v>
      </c>
      <c r="E34" s="11" t="s">
        <v>52</v>
      </c>
      <c r="F34" s="11">
        <v>0</v>
      </c>
      <c r="G34" s="11">
        <v>0</v>
      </c>
      <c r="H34" s="11">
        <f t="shared" si="0"/>
        <v>0</v>
      </c>
      <c r="I34" s="11">
        <v>0</v>
      </c>
      <c r="J34" s="11">
        <v>5.7999999999999996E-3</v>
      </c>
      <c r="K34" s="11">
        <f t="shared" si="1"/>
        <v>0</v>
      </c>
      <c r="L34" s="11">
        <v>18</v>
      </c>
      <c r="M34" s="11">
        <v>1.2E-2</v>
      </c>
      <c r="N34" s="12">
        <f t="shared" si="2"/>
        <v>0.216</v>
      </c>
      <c r="O34" s="13">
        <v>0.108</v>
      </c>
      <c r="P34" s="13">
        <v>5.5E-2</v>
      </c>
      <c r="Q34" s="13">
        <v>0.52</v>
      </c>
      <c r="R34" s="13">
        <v>7.1999999999999995E-2</v>
      </c>
      <c r="S34" s="13">
        <v>4.1000000000000002E-2</v>
      </c>
      <c r="T34" s="13">
        <v>4.1000000000000002E-2</v>
      </c>
      <c r="U34" s="14">
        <v>0</v>
      </c>
      <c r="V34" s="14">
        <v>0</v>
      </c>
      <c r="W34" s="13">
        <v>0.11</v>
      </c>
      <c r="X34" s="15">
        <v>0</v>
      </c>
      <c r="Y34" s="15">
        <v>0</v>
      </c>
      <c r="Z34" s="15">
        <v>0</v>
      </c>
      <c r="AA34" s="15">
        <v>0</v>
      </c>
      <c r="AB34" s="14">
        <v>0</v>
      </c>
      <c r="AC34" s="14">
        <v>0</v>
      </c>
      <c r="AD34" s="15">
        <v>0</v>
      </c>
    </row>
    <row r="35" spans="1:30" s="3" customFormat="1" ht="21" customHeight="1" x14ac:dyDescent="0.3">
      <c r="A35" s="8">
        <v>33</v>
      </c>
      <c r="B35" s="8" t="s">
        <v>49</v>
      </c>
      <c r="C35" s="17">
        <v>1030309130</v>
      </c>
      <c r="D35" s="11" t="s">
        <v>121</v>
      </c>
      <c r="E35" s="11" t="s">
        <v>52</v>
      </c>
      <c r="F35" s="11">
        <v>0</v>
      </c>
      <c r="G35" s="11">
        <v>0</v>
      </c>
      <c r="H35" s="11">
        <f t="shared" si="0"/>
        <v>0</v>
      </c>
      <c r="I35" s="11">
        <v>0</v>
      </c>
      <c r="J35" s="11">
        <v>5.7999999999999996E-3</v>
      </c>
      <c r="K35" s="11">
        <f t="shared" si="1"/>
        <v>0</v>
      </c>
      <c r="L35" s="11">
        <v>20</v>
      </c>
      <c r="M35" s="11">
        <v>1.2E-2</v>
      </c>
      <c r="N35" s="12">
        <f t="shared" si="2"/>
        <v>0.24</v>
      </c>
      <c r="O35" s="13">
        <v>0.108</v>
      </c>
      <c r="P35" s="13">
        <v>5.5E-2</v>
      </c>
      <c r="Q35" s="13">
        <v>0.52</v>
      </c>
      <c r="R35" s="13">
        <v>7.1999999999999995E-2</v>
      </c>
      <c r="S35" s="13">
        <v>4.1000000000000002E-2</v>
      </c>
      <c r="T35" s="13">
        <v>4.1000000000000002E-2</v>
      </c>
      <c r="U35" s="14">
        <v>0</v>
      </c>
      <c r="V35" s="14">
        <v>0</v>
      </c>
      <c r="W35" s="13">
        <v>0.11</v>
      </c>
      <c r="X35" s="15">
        <v>0</v>
      </c>
      <c r="Y35" s="15">
        <v>0</v>
      </c>
      <c r="Z35" s="15">
        <v>0</v>
      </c>
      <c r="AA35" s="15">
        <v>0</v>
      </c>
      <c r="AB35" s="14">
        <v>0</v>
      </c>
      <c r="AC35" s="14">
        <v>0</v>
      </c>
      <c r="AD35" s="15">
        <v>0</v>
      </c>
    </row>
    <row r="36" spans="1:30" s="3" customFormat="1" ht="21" customHeight="1" x14ac:dyDescent="0.3">
      <c r="A36" s="8">
        <v>34</v>
      </c>
      <c r="B36" s="8" t="s">
        <v>49</v>
      </c>
      <c r="C36" s="17">
        <v>1030310130</v>
      </c>
      <c r="D36" s="11" t="s">
        <v>122</v>
      </c>
      <c r="E36" s="11" t="s">
        <v>52</v>
      </c>
      <c r="F36" s="11">
        <v>0</v>
      </c>
      <c r="G36" s="11">
        <v>0</v>
      </c>
      <c r="H36" s="11">
        <f t="shared" si="0"/>
        <v>0</v>
      </c>
      <c r="I36" s="11">
        <v>0</v>
      </c>
      <c r="J36" s="11">
        <v>5.7999999999999996E-3</v>
      </c>
      <c r="K36" s="11">
        <f t="shared" si="1"/>
        <v>0</v>
      </c>
      <c r="L36" s="11">
        <v>28</v>
      </c>
      <c r="M36" s="11">
        <v>1.2E-2</v>
      </c>
      <c r="N36" s="12">
        <f t="shared" si="2"/>
        <v>0.33600000000000002</v>
      </c>
      <c r="O36" s="13">
        <v>0.108</v>
      </c>
      <c r="P36" s="13">
        <v>5.5E-2</v>
      </c>
      <c r="Q36" s="13">
        <v>0.52</v>
      </c>
      <c r="R36" s="13">
        <v>7.1999999999999995E-2</v>
      </c>
      <c r="S36" s="13">
        <v>4.1000000000000002E-2</v>
      </c>
      <c r="T36" s="13">
        <v>4.1000000000000002E-2</v>
      </c>
      <c r="U36" s="14">
        <v>0</v>
      </c>
      <c r="V36" s="14">
        <v>0</v>
      </c>
      <c r="W36" s="13">
        <v>0.11</v>
      </c>
      <c r="X36" s="15">
        <v>0</v>
      </c>
      <c r="Y36" s="15">
        <v>0</v>
      </c>
      <c r="Z36" s="15">
        <v>0</v>
      </c>
      <c r="AA36" s="15">
        <v>0</v>
      </c>
      <c r="AB36" s="14">
        <v>0</v>
      </c>
      <c r="AC36" s="14">
        <v>0</v>
      </c>
      <c r="AD36" s="15">
        <v>0</v>
      </c>
    </row>
    <row r="37" spans="1:30" s="3" customFormat="1" ht="21" customHeight="1" x14ac:dyDescent="0.3">
      <c r="A37" s="8">
        <v>35</v>
      </c>
      <c r="B37" s="8" t="s">
        <v>49</v>
      </c>
      <c r="C37" s="17" t="s">
        <v>123</v>
      </c>
      <c r="D37" s="11" t="s">
        <v>124</v>
      </c>
      <c r="E37" s="11" t="s">
        <v>52</v>
      </c>
      <c r="F37" s="11">
        <v>0</v>
      </c>
      <c r="G37" s="11">
        <v>0</v>
      </c>
      <c r="H37" s="11">
        <f t="shared" si="0"/>
        <v>0</v>
      </c>
      <c r="I37" s="11">
        <v>41</v>
      </c>
      <c r="J37" s="11">
        <v>5.7999999999999996E-3</v>
      </c>
      <c r="K37" s="11">
        <f t="shared" si="1"/>
        <v>0.23779999999999998</v>
      </c>
      <c r="L37" s="11">
        <v>28</v>
      </c>
      <c r="M37" s="11">
        <v>1.2E-2</v>
      </c>
      <c r="N37" s="12">
        <f t="shared" si="2"/>
        <v>0.33600000000000002</v>
      </c>
      <c r="O37" s="13">
        <v>0.108</v>
      </c>
      <c r="P37" s="13">
        <v>5.5E-2</v>
      </c>
      <c r="Q37" s="13">
        <v>0.52</v>
      </c>
      <c r="R37" s="13">
        <v>7.1999999999999995E-2</v>
      </c>
      <c r="S37" s="13">
        <v>4.1000000000000002E-2</v>
      </c>
      <c r="T37" s="13">
        <v>4.1000000000000002E-2</v>
      </c>
      <c r="U37" s="14">
        <v>0</v>
      </c>
      <c r="V37" s="14">
        <v>0</v>
      </c>
      <c r="W37" s="13">
        <v>0.11</v>
      </c>
      <c r="X37" s="15">
        <v>0</v>
      </c>
      <c r="Y37" s="15">
        <v>0</v>
      </c>
      <c r="Z37" s="15">
        <v>0</v>
      </c>
      <c r="AA37" s="15">
        <v>0</v>
      </c>
      <c r="AB37" s="14">
        <v>0</v>
      </c>
      <c r="AC37" s="14">
        <v>0</v>
      </c>
      <c r="AD37" s="15">
        <v>0</v>
      </c>
    </row>
    <row r="38" spans="1:30" s="3" customFormat="1" ht="21" customHeight="1" x14ac:dyDescent="0.3">
      <c r="A38" s="8">
        <v>36</v>
      </c>
      <c r="B38" s="8" t="s">
        <v>49</v>
      </c>
      <c r="C38" s="18">
        <v>1030311130</v>
      </c>
      <c r="D38" s="11" t="s">
        <v>125</v>
      </c>
      <c r="E38" s="11" t="s">
        <v>52</v>
      </c>
      <c r="F38" s="11">
        <v>0</v>
      </c>
      <c r="G38" s="11">
        <v>0</v>
      </c>
      <c r="H38" s="11">
        <f t="shared" si="0"/>
        <v>0</v>
      </c>
      <c r="I38" s="11">
        <v>0</v>
      </c>
      <c r="J38" s="11">
        <v>5.7999999999999996E-3</v>
      </c>
      <c r="K38" s="11">
        <f t="shared" si="1"/>
        <v>0</v>
      </c>
      <c r="L38" s="11">
        <v>29</v>
      </c>
      <c r="M38" s="11">
        <v>1.2E-2</v>
      </c>
      <c r="N38" s="12">
        <f t="shared" si="2"/>
        <v>0.34800000000000003</v>
      </c>
      <c r="O38" s="13">
        <v>0.108</v>
      </c>
      <c r="P38" s="13">
        <v>5.5E-2</v>
      </c>
      <c r="Q38" s="13">
        <v>0.52</v>
      </c>
      <c r="R38" s="13">
        <v>7.1999999999999995E-2</v>
      </c>
      <c r="S38" s="13">
        <v>4.1000000000000002E-2</v>
      </c>
      <c r="T38" s="13">
        <v>4.1000000000000002E-2</v>
      </c>
      <c r="U38" s="14">
        <v>0</v>
      </c>
      <c r="V38" s="14">
        <v>0</v>
      </c>
      <c r="W38" s="13">
        <v>0.11</v>
      </c>
      <c r="X38" s="15">
        <v>0</v>
      </c>
      <c r="Y38" s="15">
        <v>0</v>
      </c>
      <c r="Z38" s="15">
        <v>0</v>
      </c>
      <c r="AA38" s="15">
        <v>0</v>
      </c>
      <c r="AB38" s="14">
        <v>0</v>
      </c>
      <c r="AC38" s="14">
        <v>0</v>
      </c>
      <c r="AD38" s="15">
        <v>0</v>
      </c>
    </row>
    <row r="39" spans="1:30" s="3" customFormat="1" ht="21" customHeight="1" x14ac:dyDescent="0.3">
      <c r="A39" s="8">
        <v>37</v>
      </c>
      <c r="B39" s="8" t="s">
        <v>49</v>
      </c>
      <c r="C39" s="18" t="s">
        <v>126</v>
      </c>
      <c r="D39" s="11" t="s">
        <v>127</v>
      </c>
      <c r="E39" s="11" t="s">
        <v>52</v>
      </c>
      <c r="F39" s="11">
        <v>7</v>
      </c>
      <c r="G39" s="11">
        <v>1.2E-2</v>
      </c>
      <c r="H39" s="11">
        <f t="shared" si="0"/>
        <v>8.4000000000000005E-2</v>
      </c>
      <c r="I39" s="11">
        <v>50</v>
      </c>
      <c r="J39" s="11">
        <v>5.7999999999999996E-3</v>
      </c>
      <c r="K39" s="11">
        <f t="shared" si="1"/>
        <v>0.28999999999999998</v>
      </c>
      <c r="L39" s="11">
        <v>29</v>
      </c>
      <c r="M39" s="11">
        <v>1.2E-2</v>
      </c>
      <c r="N39" s="12">
        <f t="shared" si="2"/>
        <v>0.34800000000000003</v>
      </c>
      <c r="O39" s="13">
        <v>0.108</v>
      </c>
      <c r="P39" s="13">
        <v>5.5E-2</v>
      </c>
      <c r="Q39" s="13">
        <v>0.52</v>
      </c>
      <c r="R39" s="13">
        <v>7.1999999999999995E-2</v>
      </c>
      <c r="S39" s="13">
        <v>4.1000000000000002E-2</v>
      </c>
      <c r="T39" s="13">
        <v>4.1000000000000002E-2</v>
      </c>
      <c r="U39" s="14">
        <v>0</v>
      </c>
      <c r="V39" s="14">
        <v>0</v>
      </c>
      <c r="W39" s="13">
        <v>0.11</v>
      </c>
      <c r="X39" s="15">
        <v>0</v>
      </c>
      <c r="Y39" s="15">
        <v>0</v>
      </c>
      <c r="Z39" s="15">
        <v>0</v>
      </c>
      <c r="AA39" s="15">
        <v>0</v>
      </c>
      <c r="AB39" s="14">
        <v>0</v>
      </c>
      <c r="AC39" s="14">
        <v>0</v>
      </c>
      <c r="AD39" s="15">
        <v>0</v>
      </c>
    </row>
    <row r="40" spans="1:30" s="3" customFormat="1" ht="21" customHeight="1" x14ac:dyDescent="0.3">
      <c r="A40" s="8">
        <v>38</v>
      </c>
      <c r="B40" s="8" t="s">
        <v>49</v>
      </c>
      <c r="C40" s="18">
        <v>1030312267</v>
      </c>
      <c r="D40" s="11" t="s">
        <v>128</v>
      </c>
      <c r="E40" s="11" t="s">
        <v>52</v>
      </c>
      <c r="F40" s="11">
        <v>0</v>
      </c>
      <c r="G40" s="11">
        <v>0</v>
      </c>
      <c r="H40" s="11">
        <f t="shared" si="0"/>
        <v>0</v>
      </c>
      <c r="I40" s="11">
        <v>0</v>
      </c>
      <c r="J40" s="11">
        <v>5.7999999999999996E-3</v>
      </c>
      <c r="K40" s="11">
        <f t="shared" si="1"/>
        <v>0</v>
      </c>
      <c r="L40" s="11">
        <v>36</v>
      </c>
      <c r="M40" s="11">
        <v>1.2E-2</v>
      </c>
      <c r="N40" s="12">
        <f t="shared" si="2"/>
        <v>0.432</v>
      </c>
      <c r="O40" s="13">
        <v>0.108</v>
      </c>
      <c r="P40" s="13">
        <v>5.5E-2</v>
      </c>
      <c r="Q40" s="13">
        <v>0.52</v>
      </c>
      <c r="R40" s="13">
        <v>7.1999999999999995E-2</v>
      </c>
      <c r="S40" s="13">
        <v>4.1000000000000002E-2</v>
      </c>
      <c r="T40" s="13">
        <v>4.1000000000000002E-2</v>
      </c>
      <c r="U40" s="14">
        <v>0</v>
      </c>
      <c r="V40" s="14">
        <v>0</v>
      </c>
      <c r="W40" s="13">
        <v>0.11</v>
      </c>
      <c r="X40" s="15">
        <v>0</v>
      </c>
      <c r="Y40" s="15">
        <v>0</v>
      </c>
      <c r="Z40" s="15">
        <v>0</v>
      </c>
      <c r="AA40" s="15">
        <v>0</v>
      </c>
      <c r="AB40" s="14">
        <v>0</v>
      </c>
      <c r="AC40" s="14">
        <v>0</v>
      </c>
      <c r="AD40" s="15">
        <v>0</v>
      </c>
    </row>
    <row r="41" spans="1:30" s="3" customFormat="1" ht="21" customHeight="1" x14ac:dyDescent="0.3">
      <c r="A41" s="8">
        <v>39</v>
      </c>
      <c r="B41" s="8" t="s">
        <v>49</v>
      </c>
      <c r="C41" s="18" t="s">
        <v>129</v>
      </c>
      <c r="D41" s="11" t="s">
        <v>130</v>
      </c>
      <c r="E41" s="11" t="s">
        <v>52</v>
      </c>
      <c r="F41" s="11">
        <v>13</v>
      </c>
      <c r="G41" s="11">
        <v>6.0000000000000001E-3</v>
      </c>
      <c r="H41" s="11">
        <f t="shared" si="0"/>
        <v>7.8E-2</v>
      </c>
      <c r="I41" s="11">
        <v>45</v>
      </c>
      <c r="J41" s="11">
        <v>5.7999999999999996E-3</v>
      </c>
      <c r="K41" s="11">
        <f t="shared" si="1"/>
        <v>0.26100000000000001</v>
      </c>
      <c r="L41" s="11">
        <v>36</v>
      </c>
      <c r="M41" s="11">
        <v>1.2E-2</v>
      </c>
      <c r="N41" s="12">
        <f t="shared" si="2"/>
        <v>0.432</v>
      </c>
      <c r="O41" s="13">
        <v>0.108</v>
      </c>
      <c r="P41" s="13">
        <v>5.5E-2</v>
      </c>
      <c r="Q41" s="13">
        <v>0.52</v>
      </c>
      <c r="R41" s="13">
        <v>7.1999999999999995E-2</v>
      </c>
      <c r="S41" s="13">
        <v>4.1000000000000002E-2</v>
      </c>
      <c r="T41" s="13">
        <v>4.1000000000000002E-2</v>
      </c>
      <c r="U41" s="14">
        <v>0</v>
      </c>
      <c r="V41" s="14">
        <v>0</v>
      </c>
      <c r="W41" s="13">
        <v>0.11</v>
      </c>
      <c r="X41" s="15">
        <v>0</v>
      </c>
      <c r="Y41" s="15">
        <v>0</v>
      </c>
      <c r="Z41" s="15">
        <v>0</v>
      </c>
      <c r="AA41" s="15">
        <v>0</v>
      </c>
      <c r="AB41" s="14">
        <v>0</v>
      </c>
      <c r="AC41" s="14">
        <v>0</v>
      </c>
      <c r="AD41" s="15">
        <v>0</v>
      </c>
    </row>
    <row r="42" spans="1:30" s="3" customFormat="1" ht="21" customHeight="1" x14ac:dyDescent="0.3">
      <c r="A42" s="8">
        <v>40</v>
      </c>
      <c r="B42" s="8" t="s">
        <v>131</v>
      </c>
      <c r="C42" s="11" t="s">
        <v>132</v>
      </c>
      <c r="D42" s="11" t="s">
        <v>133</v>
      </c>
      <c r="E42" s="11" t="s">
        <v>52</v>
      </c>
      <c r="F42" s="11">
        <v>10</v>
      </c>
      <c r="G42" s="11">
        <v>1.2E-2</v>
      </c>
      <c r="H42" s="11">
        <f t="shared" si="0"/>
        <v>0.12</v>
      </c>
      <c r="I42" s="11">
        <v>53</v>
      </c>
      <c r="J42" s="11">
        <v>5.7999999999999996E-3</v>
      </c>
      <c r="K42" s="11">
        <f t="shared" si="1"/>
        <v>0.30740000000000001</v>
      </c>
      <c r="L42" s="11">
        <v>32</v>
      </c>
      <c r="M42" s="11">
        <v>1.2E-2</v>
      </c>
      <c r="N42" s="12">
        <f t="shared" si="2"/>
        <v>0.38400000000000001</v>
      </c>
      <c r="O42" s="13">
        <v>0.108</v>
      </c>
      <c r="P42" s="13">
        <v>5.5E-2</v>
      </c>
      <c r="Q42" s="13">
        <v>0.55000000000000004</v>
      </c>
      <c r="R42" s="13">
        <v>0.1</v>
      </c>
      <c r="S42" s="13">
        <v>4.1000000000000002E-2</v>
      </c>
      <c r="T42" s="13">
        <v>4.1000000000000002E-2</v>
      </c>
      <c r="U42" s="14">
        <v>0</v>
      </c>
      <c r="V42" s="14">
        <v>0</v>
      </c>
      <c r="W42" s="13">
        <v>0.12</v>
      </c>
      <c r="X42" s="15">
        <v>0</v>
      </c>
      <c r="Y42" s="15">
        <v>0</v>
      </c>
      <c r="Z42" s="15">
        <v>0</v>
      </c>
      <c r="AA42" s="15">
        <v>0</v>
      </c>
      <c r="AB42" s="14">
        <v>0</v>
      </c>
      <c r="AC42" s="14">
        <v>0</v>
      </c>
      <c r="AD42" s="15">
        <v>0</v>
      </c>
    </row>
    <row r="43" spans="1:30" s="3" customFormat="1" ht="21" customHeight="1" x14ac:dyDescent="0.3">
      <c r="A43" s="8">
        <v>41</v>
      </c>
      <c r="B43" s="8" t="s">
        <v>134</v>
      </c>
      <c r="C43" s="11" t="s">
        <v>135</v>
      </c>
      <c r="D43" s="11" t="s">
        <v>136</v>
      </c>
      <c r="E43" s="11" t="s">
        <v>52</v>
      </c>
      <c r="F43" s="11">
        <v>0</v>
      </c>
      <c r="G43" s="11">
        <v>0</v>
      </c>
      <c r="H43" s="11">
        <f t="shared" si="0"/>
        <v>0</v>
      </c>
      <c r="I43" s="11">
        <v>48</v>
      </c>
      <c r="J43" s="11">
        <v>5.7999999999999996E-3</v>
      </c>
      <c r="K43" s="11">
        <f t="shared" si="1"/>
        <v>0.27839999999999998</v>
      </c>
      <c r="L43" s="11">
        <v>20</v>
      </c>
      <c r="M43" s="11">
        <v>1.2E-2</v>
      </c>
      <c r="N43" s="12">
        <f t="shared" si="2"/>
        <v>0.24</v>
      </c>
      <c r="O43" s="13">
        <v>0.11</v>
      </c>
      <c r="P43" s="13">
        <v>5.5E-2</v>
      </c>
      <c r="Q43" s="13">
        <v>0.4</v>
      </c>
      <c r="R43" s="13">
        <v>0.15</v>
      </c>
      <c r="S43" s="13">
        <v>0.05</v>
      </c>
      <c r="T43" s="13">
        <v>0.05</v>
      </c>
      <c r="U43" s="14">
        <v>0</v>
      </c>
      <c r="V43" s="14">
        <v>0</v>
      </c>
      <c r="W43" s="13">
        <v>0.14000000000000001</v>
      </c>
      <c r="X43" s="15">
        <v>0</v>
      </c>
      <c r="Y43" s="15">
        <v>0</v>
      </c>
      <c r="Z43" s="15">
        <v>0</v>
      </c>
      <c r="AA43" s="15">
        <v>0</v>
      </c>
      <c r="AB43" s="14">
        <v>0</v>
      </c>
      <c r="AC43" s="14">
        <v>0</v>
      </c>
      <c r="AD43" s="15">
        <v>0</v>
      </c>
    </row>
    <row r="44" spans="1:30" s="3" customFormat="1" ht="21" customHeight="1" x14ac:dyDescent="0.3">
      <c r="A44" s="8">
        <v>42</v>
      </c>
      <c r="B44" s="8" t="s">
        <v>134</v>
      </c>
      <c r="C44" s="11" t="s">
        <v>137</v>
      </c>
      <c r="D44" s="11" t="s">
        <v>138</v>
      </c>
      <c r="E44" s="11" t="s">
        <v>52</v>
      </c>
      <c r="F44" s="11">
        <v>0</v>
      </c>
      <c r="G44" s="11">
        <v>0</v>
      </c>
      <c r="H44" s="11">
        <f t="shared" si="0"/>
        <v>0</v>
      </c>
      <c r="I44" s="11">
        <v>44</v>
      </c>
      <c r="J44" s="11">
        <v>5.7999999999999996E-3</v>
      </c>
      <c r="K44" s="11">
        <f t="shared" si="1"/>
        <v>0.25519999999999998</v>
      </c>
      <c r="L44" s="11">
        <v>27</v>
      </c>
      <c r="M44" s="11">
        <v>1.2E-2</v>
      </c>
      <c r="N44" s="12">
        <f t="shared" si="2"/>
        <v>0.32400000000000001</v>
      </c>
      <c r="O44" s="13">
        <v>0.11</v>
      </c>
      <c r="P44" s="13">
        <v>5.5E-2</v>
      </c>
      <c r="Q44" s="13">
        <v>0.45</v>
      </c>
      <c r="R44" s="13">
        <v>0.15</v>
      </c>
      <c r="S44" s="13">
        <v>0.05</v>
      </c>
      <c r="T44" s="13">
        <v>0.05</v>
      </c>
      <c r="U44" s="14">
        <v>0</v>
      </c>
      <c r="V44" s="14">
        <v>0</v>
      </c>
      <c r="W44" s="13">
        <v>0.14000000000000001</v>
      </c>
      <c r="X44" s="15">
        <v>0</v>
      </c>
      <c r="Y44" s="15">
        <v>0</v>
      </c>
      <c r="Z44" s="15">
        <v>0</v>
      </c>
      <c r="AA44" s="15">
        <v>0</v>
      </c>
      <c r="AB44" s="14">
        <v>0</v>
      </c>
      <c r="AC44" s="14">
        <v>0</v>
      </c>
      <c r="AD44" s="15">
        <v>0</v>
      </c>
    </row>
    <row r="45" spans="1:30" s="3" customFormat="1" ht="21" customHeight="1" x14ac:dyDescent="0.3">
      <c r="A45" s="8">
        <v>43</v>
      </c>
      <c r="B45" s="8" t="s">
        <v>134</v>
      </c>
      <c r="C45" s="11" t="s">
        <v>139</v>
      </c>
      <c r="D45" s="11" t="s">
        <v>140</v>
      </c>
      <c r="E45" s="11" t="s">
        <v>52</v>
      </c>
      <c r="F45" s="11">
        <v>0</v>
      </c>
      <c r="G45" s="11">
        <v>0</v>
      </c>
      <c r="H45" s="11">
        <f t="shared" si="0"/>
        <v>0</v>
      </c>
      <c r="I45" s="11">
        <v>44</v>
      </c>
      <c r="J45" s="11">
        <v>5.7999999999999996E-3</v>
      </c>
      <c r="K45" s="11">
        <f t="shared" si="1"/>
        <v>0.25519999999999998</v>
      </c>
      <c r="L45" s="11">
        <v>28</v>
      </c>
      <c r="M45" s="11">
        <v>1.2E-2</v>
      </c>
      <c r="N45" s="12">
        <f t="shared" si="2"/>
        <v>0.33600000000000002</v>
      </c>
      <c r="O45" s="13">
        <v>0.11</v>
      </c>
      <c r="P45" s="13">
        <v>5.5E-2</v>
      </c>
      <c r="Q45" s="13">
        <v>0.45</v>
      </c>
      <c r="R45" s="13">
        <v>0.15</v>
      </c>
      <c r="S45" s="13">
        <v>0.05</v>
      </c>
      <c r="T45" s="13">
        <v>0.05</v>
      </c>
      <c r="U45" s="14">
        <v>0</v>
      </c>
      <c r="V45" s="14">
        <v>0</v>
      </c>
      <c r="W45" s="13">
        <v>0.14000000000000001</v>
      </c>
      <c r="X45" s="15">
        <v>0</v>
      </c>
      <c r="Y45" s="15">
        <v>0</v>
      </c>
      <c r="Z45" s="15">
        <v>0</v>
      </c>
      <c r="AA45" s="15">
        <v>0</v>
      </c>
      <c r="AB45" s="14">
        <v>0</v>
      </c>
      <c r="AC45" s="14">
        <v>0</v>
      </c>
      <c r="AD45" s="15">
        <v>0</v>
      </c>
    </row>
    <row r="46" spans="1:30" s="3" customFormat="1" ht="21" customHeight="1" x14ac:dyDescent="0.3">
      <c r="A46" s="8">
        <v>44</v>
      </c>
      <c r="B46" s="8" t="s">
        <v>141</v>
      </c>
      <c r="C46" s="11" t="s">
        <v>142</v>
      </c>
      <c r="D46" s="11" t="s">
        <v>143</v>
      </c>
      <c r="E46" s="11" t="s">
        <v>52</v>
      </c>
      <c r="F46" s="14">
        <v>0</v>
      </c>
      <c r="G46" s="11">
        <v>0</v>
      </c>
      <c r="H46" s="11">
        <f t="shared" si="0"/>
        <v>0</v>
      </c>
      <c r="I46" s="11">
        <v>14</v>
      </c>
      <c r="J46" s="11">
        <v>5.7999999999999996E-3</v>
      </c>
      <c r="K46" s="11">
        <f t="shared" si="1"/>
        <v>8.1199999999999994E-2</v>
      </c>
      <c r="L46" s="11">
        <v>7</v>
      </c>
      <c r="M46" s="11">
        <v>1.2E-2</v>
      </c>
      <c r="N46" s="12">
        <f t="shared" si="2"/>
        <v>8.4000000000000005E-2</v>
      </c>
      <c r="O46" s="13">
        <v>0.11</v>
      </c>
      <c r="P46" s="13">
        <v>5.5E-2</v>
      </c>
      <c r="Q46" s="13">
        <v>0.5</v>
      </c>
      <c r="R46" s="13">
        <v>0.15</v>
      </c>
      <c r="S46" s="13">
        <v>0.11</v>
      </c>
      <c r="T46" s="13">
        <v>0.11</v>
      </c>
      <c r="U46" s="13">
        <v>0.08</v>
      </c>
      <c r="V46" s="14">
        <v>0</v>
      </c>
      <c r="W46" s="13">
        <v>0.08</v>
      </c>
      <c r="X46" s="13">
        <v>0.18</v>
      </c>
      <c r="Y46" s="14">
        <v>0</v>
      </c>
      <c r="Z46" s="14">
        <v>0</v>
      </c>
      <c r="AA46" s="13">
        <v>0.2</v>
      </c>
      <c r="AB46" s="13">
        <v>0.16</v>
      </c>
      <c r="AC46" s="13">
        <v>0.18</v>
      </c>
      <c r="AD46" s="14">
        <v>0</v>
      </c>
    </row>
    <row r="47" spans="1:30" s="3" customFormat="1" ht="21" customHeight="1" x14ac:dyDescent="0.3">
      <c r="A47" s="8">
        <v>45</v>
      </c>
      <c r="B47" s="8" t="s">
        <v>141</v>
      </c>
      <c r="C47" s="11" t="s">
        <v>144</v>
      </c>
      <c r="D47" s="11" t="s">
        <v>145</v>
      </c>
      <c r="E47" s="11" t="s">
        <v>52</v>
      </c>
      <c r="F47" s="14">
        <v>0</v>
      </c>
      <c r="G47" s="11">
        <v>0</v>
      </c>
      <c r="H47" s="11">
        <f t="shared" si="0"/>
        <v>0</v>
      </c>
      <c r="I47" s="11">
        <v>29</v>
      </c>
      <c r="J47" s="11">
        <v>5.7999999999999996E-3</v>
      </c>
      <c r="K47" s="11">
        <f t="shared" si="1"/>
        <v>0.16819999999999999</v>
      </c>
      <c r="L47" s="11">
        <v>7</v>
      </c>
      <c r="M47" s="11">
        <v>1.2E-2</v>
      </c>
      <c r="N47" s="12">
        <f t="shared" si="2"/>
        <v>8.4000000000000005E-2</v>
      </c>
      <c r="O47" s="13">
        <v>0.11</v>
      </c>
      <c r="P47" s="13">
        <v>5.5E-2</v>
      </c>
      <c r="Q47" s="13">
        <v>0.35</v>
      </c>
      <c r="R47" s="13">
        <v>0.15</v>
      </c>
      <c r="S47" s="13">
        <v>0.11</v>
      </c>
      <c r="T47" s="13">
        <v>0.11</v>
      </c>
      <c r="U47" s="13">
        <v>0.08</v>
      </c>
      <c r="V47" s="14">
        <v>0</v>
      </c>
      <c r="W47" s="13">
        <v>0.08</v>
      </c>
      <c r="X47" s="13">
        <v>0.18</v>
      </c>
      <c r="Y47" s="14">
        <v>0</v>
      </c>
      <c r="Z47" s="14">
        <v>0</v>
      </c>
      <c r="AA47" s="13">
        <v>0.2</v>
      </c>
      <c r="AB47" s="13">
        <v>0.16</v>
      </c>
      <c r="AC47" s="13">
        <v>0.18</v>
      </c>
      <c r="AD47" s="14">
        <v>0</v>
      </c>
    </row>
    <row r="48" spans="1:30" s="3" customFormat="1" ht="21" customHeight="1" x14ac:dyDescent="0.3">
      <c r="A48" s="8">
        <v>46</v>
      </c>
      <c r="B48" s="8" t="s">
        <v>141</v>
      </c>
      <c r="C48" s="11" t="s">
        <v>146</v>
      </c>
      <c r="D48" s="11" t="s">
        <v>147</v>
      </c>
      <c r="E48" s="11" t="s">
        <v>52</v>
      </c>
      <c r="F48" s="14">
        <v>0</v>
      </c>
      <c r="G48" s="11">
        <v>0</v>
      </c>
      <c r="H48" s="11">
        <f t="shared" si="0"/>
        <v>0</v>
      </c>
      <c r="I48" s="11">
        <v>37</v>
      </c>
      <c r="J48" s="11">
        <v>5.7999999999999996E-3</v>
      </c>
      <c r="K48" s="11">
        <f t="shared" si="1"/>
        <v>0.21459999999999999</v>
      </c>
      <c r="L48" s="11">
        <v>10</v>
      </c>
      <c r="M48" s="11">
        <v>1.2E-2</v>
      </c>
      <c r="N48" s="12">
        <f t="shared" si="2"/>
        <v>0.12</v>
      </c>
      <c r="O48" s="13">
        <v>0.11</v>
      </c>
      <c r="P48" s="13">
        <v>5.5E-2</v>
      </c>
      <c r="Q48" s="13">
        <v>0.35</v>
      </c>
      <c r="R48" s="13">
        <v>0.15</v>
      </c>
      <c r="S48" s="13">
        <v>0.11</v>
      </c>
      <c r="T48" s="13">
        <v>0.11</v>
      </c>
      <c r="U48" s="13">
        <v>0.08</v>
      </c>
      <c r="V48" s="14">
        <v>0</v>
      </c>
      <c r="W48" s="13">
        <v>0.08</v>
      </c>
      <c r="X48" s="13">
        <v>0.18</v>
      </c>
      <c r="Y48" s="14">
        <v>0</v>
      </c>
      <c r="Z48" s="14">
        <v>0</v>
      </c>
      <c r="AA48" s="13">
        <v>0.2</v>
      </c>
      <c r="AB48" s="13">
        <v>0.16</v>
      </c>
      <c r="AC48" s="13">
        <v>0.18</v>
      </c>
      <c r="AD48" s="13">
        <v>0.1</v>
      </c>
    </row>
    <row r="49" spans="1:30" s="3" customFormat="1" ht="21" customHeight="1" x14ac:dyDescent="0.3">
      <c r="A49" s="8">
        <v>47</v>
      </c>
      <c r="B49" s="8" t="s">
        <v>141</v>
      </c>
      <c r="C49" s="11" t="s">
        <v>148</v>
      </c>
      <c r="D49" s="11" t="s">
        <v>149</v>
      </c>
      <c r="E49" s="11" t="s">
        <v>52</v>
      </c>
      <c r="F49" s="14">
        <v>0</v>
      </c>
      <c r="G49" s="11">
        <v>0</v>
      </c>
      <c r="H49" s="11">
        <f t="shared" si="0"/>
        <v>0</v>
      </c>
      <c r="I49" s="11">
        <v>39</v>
      </c>
      <c r="J49" s="11">
        <v>5.7999999999999996E-3</v>
      </c>
      <c r="K49" s="11">
        <f t="shared" si="1"/>
        <v>0.22619999999999998</v>
      </c>
      <c r="L49" s="11">
        <v>15</v>
      </c>
      <c r="M49" s="11">
        <v>1.2E-2</v>
      </c>
      <c r="N49" s="12">
        <f t="shared" si="2"/>
        <v>0.18</v>
      </c>
      <c r="O49" s="13">
        <v>0.11</v>
      </c>
      <c r="P49" s="13">
        <v>5.5E-2</v>
      </c>
      <c r="Q49" s="13">
        <v>0.35</v>
      </c>
      <c r="R49" s="13">
        <v>0.15</v>
      </c>
      <c r="S49" s="13">
        <v>0.11</v>
      </c>
      <c r="T49" s="13">
        <v>0.11</v>
      </c>
      <c r="U49" s="13">
        <v>0.08</v>
      </c>
      <c r="V49" s="14">
        <v>0</v>
      </c>
      <c r="W49" s="13">
        <v>0.08</v>
      </c>
      <c r="X49" s="13">
        <v>0.18</v>
      </c>
      <c r="Y49" s="14">
        <v>0</v>
      </c>
      <c r="Z49" s="14">
        <v>0</v>
      </c>
      <c r="AA49" s="13">
        <v>0.2</v>
      </c>
      <c r="AB49" s="13">
        <v>0.16</v>
      </c>
      <c r="AC49" s="13">
        <v>0.18</v>
      </c>
      <c r="AD49" s="13">
        <v>0.1</v>
      </c>
    </row>
    <row r="50" spans="1:30" s="3" customFormat="1" ht="21" customHeight="1" x14ac:dyDescent="0.3">
      <c r="A50" s="8">
        <v>48</v>
      </c>
      <c r="B50" s="8" t="s">
        <v>141</v>
      </c>
      <c r="C50" s="11" t="s">
        <v>150</v>
      </c>
      <c r="D50" s="11" t="s">
        <v>151</v>
      </c>
      <c r="E50" s="11" t="s">
        <v>52</v>
      </c>
      <c r="F50" s="14">
        <v>0</v>
      </c>
      <c r="G50" s="11">
        <v>0</v>
      </c>
      <c r="H50" s="11">
        <f t="shared" si="0"/>
        <v>0</v>
      </c>
      <c r="I50" s="11">
        <v>42</v>
      </c>
      <c r="J50" s="11">
        <v>5.7999999999999996E-3</v>
      </c>
      <c r="K50" s="11">
        <f t="shared" si="1"/>
        <v>0.24359999999999998</v>
      </c>
      <c r="L50" s="11">
        <v>12</v>
      </c>
      <c r="M50" s="11">
        <v>1.2E-2</v>
      </c>
      <c r="N50" s="12">
        <f t="shared" si="2"/>
        <v>0.14400000000000002</v>
      </c>
      <c r="O50" s="13">
        <v>0.11</v>
      </c>
      <c r="P50" s="13">
        <v>5.5E-2</v>
      </c>
      <c r="Q50" s="13">
        <v>0.35</v>
      </c>
      <c r="R50" s="13">
        <v>0.15</v>
      </c>
      <c r="S50" s="13">
        <v>0.11</v>
      </c>
      <c r="T50" s="13">
        <v>0.11</v>
      </c>
      <c r="U50" s="13">
        <v>0.08</v>
      </c>
      <c r="V50" s="14">
        <v>0</v>
      </c>
      <c r="W50" s="13">
        <v>0.08</v>
      </c>
      <c r="X50" s="13">
        <v>0.18</v>
      </c>
      <c r="Y50" s="14">
        <v>0</v>
      </c>
      <c r="Z50" s="14">
        <v>0</v>
      </c>
      <c r="AA50" s="13">
        <v>0.2</v>
      </c>
      <c r="AB50" s="13">
        <v>0.16</v>
      </c>
      <c r="AC50" s="13">
        <v>0.18</v>
      </c>
      <c r="AD50" s="13">
        <v>0.15</v>
      </c>
    </row>
    <row r="51" spans="1:30" s="3" customFormat="1" ht="21" customHeight="1" x14ac:dyDescent="0.3">
      <c r="A51" s="8">
        <v>49</v>
      </c>
      <c r="B51" s="8" t="s">
        <v>141</v>
      </c>
      <c r="C51" s="11" t="s">
        <v>152</v>
      </c>
      <c r="D51" s="11" t="s">
        <v>153</v>
      </c>
      <c r="E51" s="11" t="s">
        <v>52</v>
      </c>
      <c r="F51" s="14">
        <v>0</v>
      </c>
      <c r="G51" s="11">
        <v>0</v>
      </c>
      <c r="H51" s="11">
        <f t="shared" si="0"/>
        <v>0</v>
      </c>
      <c r="I51" s="11">
        <v>53</v>
      </c>
      <c r="J51" s="11">
        <v>5.7999999999999996E-3</v>
      </c>
      <c r="K51" s="11">
        <f t="shared" si="1"/>
        <v>0.30740000000000001</v>
      </c>
      <c r="L51" s="11">
        <v>21</v>
      </c>
      <c r="M51" s="11">
        <v>1.2E-2</v>
      </c>
      <c r="N51" s="12">
        <f t="shared" si="2"/>
        <v>0.252</v>
      </c>
      <c r="O51" s="13">
        <v>0.11</v>
      </c>
      <c r="P51" s="13">
        <v>5.5E-2</v>
      </c>
      <c r="Q51" s="13">
        <v>0.35</v>
      </c>
      <c r="R51" s="13">
        <v>0.2</v>
      </c>
      <c r="S51" s="13">
        <v>0.13</v>
      </c>
      <c r="T51" s="13">
        <v>0.13</v>
      </c>
      <c r="U51" s="13">
        <v>0.08</v>
      </c>
      <c r="V51" s="14">
        <v>0</v>
      </c>
      <c r="W51" s="13">
        <v>0.12</v>
      </c>
      <c r="X51" s="13">
        <v>0.3</v>
      </c>
      <c r="Y51" s="14">
        <v>0</v>
      </c>
      <c r="Z51" s="14">
        <v>0</v>
      </c>
      <c r="AA51" s="13">
        <v>0.3</v>
      </c>
      <c r="AB51" s="13">
        <v>0.32</v>
      </c>
      <c r="AC51" s="13">
        <v>0.25</v>
      </c>
      <c r="AD51" s="14">
        <v>0</v>
      </c>
    </row>
    <row r="52" spans="1:30" s="3" customFormat="1" ht="21" customHeight="1" x14ac:dyDescent="0.3">
      <c r="A52" s="8">
        <v>50</v>
      </c>
      <c r="B52" s="8" t="s">
        <v>141</v>
      </c>
      <c r="C52" s="11" t="s">
        <v>154</v>
      </c>
      <c r="D52" s="11" t="s">
        <v>155</v>
      </c>
      <c r="E52" s="11" t="s">
        <v>52</v>
      </c>
      <c r="F52" s="14">
        <v>0</v>
      </c>
      <c r="G52" s="11">
        <v>0</v>
      </c>
      <c r="H52" s="11">
        <f t="shared" si="0"/>
        <v>0</v>
      </c>
      <c r="I52" s="11">
        <v>44</v>
      </c>
      <c r="J52" s="11">
        <v>5.7999999999999996E-3</v>
      </c>
      <c r="K52" s="11">
        <f t="shared" si="1"/>
        <v>0.25519999999999998</v>
      </c>
      <c r="L52" s="11">
        <v>15</v>
      </c>
      <c r="M52" s="11">
        <v>1.2E-2</v>
      </c>
      <c r="N52" s="12">
        <f t="shared" si="2"/>
        <v>0.18</v>
      </c>
      <c r="O52" s="13">
        <v>0.11</v>
      </c>
      <c r="P52" s="13">
        <v>5.5E-2</v>
      </c>
      <c r="Q52" s="13">
        <v>0.35</v>
      </c>
      <c r="R52" s="13">
        <v>0.2</v>
      </c>
      <c r="S52" s="13">
        <v>0.13</v>
      </c>
      <c r="T52" s="13">
        <v>0.13</v>
      </c>
      <c r="U52" s="13">
        <v>0.08</v>
      </c>
      <c r="V52" s="14">
        <v>0</v>
      </c>
      <c r="W52" s="13">
        <v>0.12</v>
      </c>
      <c r="X52" s="13">
        <v>0.3</v>
      </c>
      <c r="Y52" s="14">
        <v>0</v>
      </c>
      <c r="Z52" s="14">
        <v>0</v>
      </c>
      <c r="AA52" s="13">
        <v>0.3</v>
      </c>
      <c r="AB52" s="13">
        <v>0.32</v>
      </c>
      <c r="AC52" s="13">
        <v>0.25</v>
      </c>
      <c r="AD52" s="14">
        <v>0</v>
      </c>
    </row>
    <row r="53" spans="1:30" s="3" customFormat="1" ht="21" customHeight="1" x14ac:dyDescent="0.3">
      <c r="A53" s="8">
        <v>51</v>
      </c>
      <c r="B53" s="8" t="s">
        <v>141</v>
      </c>
      <c r="C53" s="11" t="s">
        <v>156</v>
      </c>
      <c r="D53" s="11" t="s">
        <v>157</v>
      </c>
      <c r="E53" s="11" t="s">
        <v>52</v>
      </c>
      <c r="F53" s="14">
        <v>0</v>
      </c>
      <c r="G53" s="11">
        <v>0</v>
      </c>
      <c r="H53" s="11">
        <f t="shared" si="0"/>
        <v>0</v>
      </c>
      <c r="I53" s="11">
        <v>53</v>
      </c>
      <c r="J53" s="11">
        <v>5.7999999999999996E-3</v>
      </c>
      <c r="K53" s="11">
        <f t="shared" si="1"/>
        <v>0.30740000000000001</v>
      </c>
      <c r="L53" s="11">
        <v>24</v>
      </c>
      <c r="M53" s="11">
        <v>1.2E-2</v>
      </c>
      <c r="N53" s="12">
        <f t="shared" si="2"/>
        <v>0.28800000000000003</v>
      </c>
      <c r="O53" s="13">
        <v>0.11</v>
      </c>
      <c r="P53" s="13">
        <v>5.5E-2</v>
      </c>
      <c r="Q53" s="13">
        <v>0.5</v>
      </c>
      <c r="R53" s="13">
        <v>0.2</v>
      </c>
      <c r="S53" s="13">
        <v>0.13</v>
      </c>
      <c r="T53" s="13">
        <v>0.13</v>
      </c>
      <c r="U53" s="13">
        <v>0.08</v>
      </c>
      <c r="V53" s="14">
        <v>0</v>
      </c>
      <c r="W53" s="13">
        <v>0.12</v>
      </c>
      <c r="X53" s="13">
        <v>0.3</v>
      </c>
      <c r="Y53" s="14">
        <v>0</v>
      </c>
      <c r="Z53" s="14">
        <v>0</v>
      </c>
      <c r="AA53" s="13">
        <v>0.3</v>
      </c>
      <c r="AB53" s="13">
        <v>0.32</v>
      </c>
      <c r="AC53" s="13">
        <v>0.25</v>
      </c>
      <c r="AD53" s="14">
        <v>0</v>
      </c>
    </row>
    <row r="54" spans="1:30" s="3" customFormat="1" ht="21" customHeight="1" x14ac:dyDescent="0.3">
      <c r="A54" s="8">
        <v>52</v>
      </c>
      <c r="B54" s="8" t="s">
        <v>141</v>
      </c>
      <c r="C54" s="11" t="s">
        <v>158</v>
      </c>
      <c r="D54" s="11" t="s">
        <v>159</v>
      </c>
      <c r="E54" s="11" t="s">
        <v>52</v>
      </c>
      <c r="F54" s="14">
        <v>0</v>
      </c>
      <c r="G54" s="11">
        <v>0</v>
      </c>
      <c r="H54" s="11">
        <f t="shared" si="0"/>
        <v>0</v>
      </c>
      <c r="I54" s="11">
        <v>47</v>
      </c>
      <c r="J54" s="11">
        <v>5.7999999999999996E-3</v>
      </c>
      <c r="K54" s="11">
        <f t="shared" si="1"/>
        <v>0.27259999999999995</v>
      </c>
      <c r="L54" s="11">
        <v>23</v>
      </c>
      <c r="M54" s="11">
        <v>1.2E-2</v>
      </c>
      <c r="N54" s="12">
        <f t="shared" si="2"/>
        <v>0.27600000000000002</v>
      </c>
      <c r="O54" s="13">
        <v>0.11</v>
      </c>
      <c r="P54" s="13">
        <v>5.5E-2</v>
      </c>
      <c r="Q54" s="13">
        <v>0.5</v>
      </c>
      <c r="R54" s="13">
        <v>0.2</v>
      </c>
      <c r="S54" s="13">
        <v>0.13</v>
      </c>
      <c r="T54" s="13">
        <v>0.13</v>
      </c>
      <c r="U54" s="13">
        <v>0.08</v>
      </c>
      <c r="V54" s="14">
        <v>0</v>
      </c>
      <c r="W54" s="13">
        <v>0.12</v>
      </c>
      <c r="X54" s="13">
        <v>0.3</v>
      </c>
      <c r="Y54" s="14">
        <v>0</v>
      </c>
      <c r="Z54" s="14">
        <v>0</v>
      </c>
      <c r="AA54" s="13">
        <v>0.3</v>
      </c>
      <c r="AB54" s="13">
        <v>0.32</v>
      </c>
      <c r="AC54" s="13">
        <v>0.25</v>
      </c>
      <c r="AD54" s="14">
        <v>0</v>
      </c>
    </row>
    <row r="55" spans="1:30" s="3" customFormat="1" ht="21" customHeight="1" x14ac:dyDescent="0.3">
      <c r="A55" s="8">
        <v>53</v>
      </c>
      <c r="B55" s="8" t="s">
        <v>141</v>
      </c>
      <c r="C55" s="11" t="s">
        <v>160</v>
      </c>
      <c r="D55" s="11" t="s">
        <v>161</v>
      </c>
      <c r="E55" s="11" t="s">
        <v>52</v>
      </c>
      <c r="F55" s="14">
        <v>0</v>
      </c>
      <c r="G55" s="11">
        <v>0</v>
      </c>
      <c r="H55" s="11">
        <f t="shared" si="0"/>
        <v>0</v>
      </c>
      <c r="I55" s="11">
        <v>53</v>
      </c>
      <c r="J55" s="11">
        <v>5.7999999999999996E-3</v>
      </c>
      <c r="K55" s="11">
        <f t="shared" si="1"/>
        <v>0.30740000000000001</v>
      </c>
      <c r="L55" s="11">
        <v>25</v>
      </c>
      <c r="M55" s="11">
        <v>1.2E-2</v>
      </c>
      <c r="N55" s="12">
        <f t="shared" si="2"/>
        <v>0.3</v>
      </c>
      <c r="O55" s="13">
        <v>0.11</v>
      </c>
      <c r="P55" s="13">
        <v>5.5E-2</v>
      </c>
      <c r="Q55" s="13">
        <v>0.5</v>
      </c>
      <c r="R55" s="13">
        <v>0.2</v>
      </c>
      <c r="S55" s="13">
        <v>0.13</v>
      </c>
      <c r="T55" s="13">
        <v>0.13</v>
      </c>
      <c r="U55" s="13">
        <v>0.08</v>
      </c>
      <c r="V55" s="14">
        <v>0</v>
      </c>
      <c r="W55" s="13">
        <v>0.12</v>
      </c>
      <c r="X55" s="13">
        <v>0.3</v>
      </c>
      <c r="Y55" s="14">
        <v>0</v>
      </c>
      <c r="Z55" s="14">
        <v>0</v>
      </c>
      <c r="AA55" s="13">
        <v>0.3</v>
      </c>
      <c r="AB55" s="13">
        <v>0.32</v>
      </c>
      <c r="AC55" s="13">
        <v>0.25</v>
      </c>
      <c r="AD55" s="14">
        <v>0</v>
      </c>
    </row>
    <row r="56" spans="1:30" s="3" customFormat="1" ht="21" customHeight="1" x14ac:dyDescent="0.3">
      <c r="A56" s="8">
        <v>54</v>
      </c>
      <c r="B56" s="8" t="s">
        <v>141</v>
      </c>
      <c r="C56" s="11" t="s">
        <v>162</v>
      </c>
      <c r="D56" s="11" t="s">
        <v>163</v>
      </c>
      <c r="E56" s="11" t="s">
        <v>52</v>
      </c>
      <c r="F56" s="14">
        <v>0</v>
      </c>
      <c r="G56" s="11">
        <v>0</v>
      </c>
      <c r="H56" s="11">
        <f t="shared" si="0"/>
        <v>0</v>
      </c>
      <c r="I56" s="11">
        <v>49</v>
      </c>
      <c r="J56" s="11">
        <v>5.7999999999999996E-3</v>
      </c>
      <c r="K56" s="11">
        <f t="shared" si="1"/>
        <v>0.28420000000000001</v>
      </c>
      <c r="L56" s="11">
        <v>28</v>
      </c>
      <c r="M56" s="11">
        <v>1.2E-2</v>
      </c>
      <c r="N56" s="12">
        <f t="shared" si="2"/>
        <v>0.33600000000000002</v>
      </c>
      <c r="O56" s="13">
        <v>0.11</v>
      </c>
      <c r="P56" s="13">
        <v>5.5E-2</v>
      </c>
      <c r="Q56" s="13">
        <v>0.5</v>
      </c>
      <c r="R56" s="13">
        <v>0.2</v>
      </c>
      <c r="S56" s="13">
        <v>0.13</v>
      </c>
      <c r="T56" s="13">
        <v>0.13</v>
      </c>
      <c r="U56" s="13">
        <v>0.08</v>
      </c>
      <c r="V56" s="14">
        <v>0</v>
      </c>
      <c r="W56" s="13">
        <v>0.12</v>
      </c>
      <c r="X56" s="13">
        <v>0.3</v>
      </c>
      <c r="Y56" s="14">
        <v>0</v>
      </c>
      <c r="Z56" s="14">
        <v>0</v>
      </c>
      <c r="AA56" s="13">
        <v>0.3</v>
      </c>
      <c r="AB56" s="13">
        <v>0.32</v>
      </c>
      <c r="AC56" s="13">
        <v>0.25</v>
      </c>
      <c r="AD56" s="14">
        <v>0</v>
      </c>
    </row>
    <row r="57" spans="1:30" s="3" customFormat="1" ht="21" customHeight="1" x14ac:dyDescent="0.3">
      <c r="A57" s="8">
        <v>55</v>
      </c>
      <c r="B57" s="8" t="s">
        <v>141</v>
      </c>
      <c r="C57" s="11" t="s">
        <v>164</v>
      </c>
      <c r="D57" s="11" t="s">
        <v>165</v>
      </c>
      <c r="E57" s="11" t="s">
        <v>52</v>
      </c>
      <c r="F57" s="14">
        <v>0</v>
      </c>
      <c r="G57" s="11">
        <v>0</v>
      </c>
      <c r="H57" s="11">
        <f t="shared" si="0"/>
        <v>0</v>
      </c>
      <c r="I57" s="11">
        <v>54</v>
      </c>
      <c r="J57" s="11">
        <v>5.7999999999999996E-3</v>
      </c>
      <c r="K57" s="11">
        <f t="shared" si="1"/>
        <v>0.31319999999999998</v>
      </c>
      <c r="L57" s="11">
        <v>27</v>
      </c>
      <c r="M57" s="11">
        <v>1.2E-2</v>
      </c>
      <c r="N57" s="12">
        <f t="shared" si="2"/>
        <v>0.32400000000000001</v>
      </c>
      <c r="O57" s="13">
        <v>0.11</v>
      </c>
      <c r="P57" s="13">
        <v>5.5E-2</v>
      </c>
      <c r="Q57" s="13">
        <v>0.6</v>
      </c>
      <c r="R57" s="13">
        <v>0.2</v>
      </c>
      <c r="S57" s="13">
        <v>0.13</v>
      </c>
      <c r="T57" s="13">
        <v>0.13</v>
      </c>
      <c r="U57" s="13">
        <v>0.08</v>
      </c>
      <c r="V57" s="14">
        <v>0</v>
      </c>
      <c r="W57" s="13">
        <v>0.12</v>
      </c>
      <c r="X57" s="13">
        <v>0.3</v>
      </c>
      <c r="Y57" s="14">
        <v>0</v>
      </c>
      <c r="Z57" s="14">
        <v>0</v>
      </c>
      <c r="AA57" s="13">
        <v>0.3</v>
      </c>
      <c r="AB57" s="13">
        <v>0.32</v>
      </c>
      <c r="AC57" s="13">
        <v>0.25</v>
      </c>
      <c r="AD57" s="14">
        <v>0</v>
      </c>
    </row>
    <row r="58" spans="1:30" s="3" customFormat="1" ht="21" customHeight="1" x14ac:dyDescent="0.3">
      <c r="A58" s="8">
        <v>56</v>
      </c>
      <c r="B58" s="8" t="s">
        <v>141</v>
      </c>
      <c r="C58" s="11" t="s">
        <v>166</v>
      </c>
      <c r="D58" s="11" t="s">
        <v>167</v>
      </c>
      <c r="E58" s="11" t="s">
        <v>52</v>
      </c>
      <c r="F58" s="14">
        <v>0</v>
      </c>
      <c r="G58" s="11">
        <v>0</v>
      </c>
      <c r="H58" s="11">
        <f t="shared" si="0"/>
        <v>0</v>
      </c>
      <c r="I58" s="11">
        <v>59</v>
      </c>
      <c r="J58" s="11">
        <v>5.7999999999999996E-3</v>
      </c>
      <c r="K58" s="11">
        <f t="shared" si="1"/>
        <v>0.34219999999999995</v>
      </c>
      <c r="L58" s="11">
        <v>30</v>
      </c>
      <c r="M58" s="11">
        <v>1.2E-2</v>
      </c>
      <c r="N58" s="12">
        <f t="shared" si="2"/>
        <v>0.36</v>
      </c>
      <c r="O58" s="13">
        <v>0.11</v>
      </c>
      <c r="P58" s="13">
        <v>5.5E-2</v>
      </c>
      <c r="Q58" s="13">
        <v>0.6</v>
      </c>
      <c r="R58" s="13">
        <v>0.2</v>
      </c>
      <c r="S58" s="13">
        <v>0.13</v>
      </c>
      <c r="T58" s="13">
        <v>0.13</v>
      </c>
      <c r="U58" s="13">
        <v>0.08</v>
      </c>
      <c r="V58" s="14">
        <v>0</v>
      </c>
      <c r="W58" s="13">
        <v>0.12</v>
      </c>
      <c r="X58" s="13">
        <v>0.3</v>
      </c>
      <c r="Y58" s="14">
        <v>0</v>
      </c>
      <c r="Z58" s="14">
        <v>0</v>
      </c>
      <c r="AA58" s="13">
        <v>0.3</v>
      </c>
      <c r="AB58" s="13">
        <v>0.32</v>
      </c>
      <c r="AC58" s="13">
        <v>0.25</v>
      </c>
      <c r="AD58" s="14">
        <v>0</v>
      </c>
    </row>
    <row r="59" spans="1:30" s="3" customFormat="1" ht="21" customHeight="1" x14ac:dyDescent="0.3">
      <c r="A59" s="8">
        <v>57</v>
      </c>
      <c r="B59" s="8" t="s">
        <v>141</v>
      </c>
      <c r="C59" s="11" t="s">
        <v>168</v>
      </c>
      <c r="D59" s="11" t="s">
        <v>169</v>
      </c>
      <c r="E59" s="11" t="s">
        <v>52</v>
      </c>
      <c r="F59" s="14">
        <v>0</v>
      </c>
      <c r="G59" s="11">
        <v>0</v>
      </c>
      <c r="H59" s="11">
        <f t="shared" si="0"/>
        <v>0</v>
      </c>
      <c r="I59" s="11">
        <v>29</v>
      </c>
      <c r="J59" s="11">
        <v>5.7999999999999996E-3</v>
      </c>
      <c r="K59" s="11">
        <f t="shared" si="1"/>
        <v>0.16819999999999999</v>
      </c>
      <c r="L59" s="11">
        <v>7</v>
      </c>
      <c r="M59" s="11">
        <v>1.2E-2</v>
      </c>
      <c r="N59" s="12">
        <f t="shared" si="2"/>
        <v>8.4000000000000005E-2</v>
      </c>
      <c r="O59" s="13">
        <v>0.11</v>
      </c>
      <c r="P59" s="13">
        <v>5.5E-2</v>
      </c>
      <c r="Q59" s="13">
        <v>0.35</v>
      </c>
      <c r="R59" s="13">
        <v>0.15</v>
      </c>
      <c r="S59" s="13">
        <v>0.11</v>
      </c>
      <c r="T59" s="13">
        <v>0.11</v>
      </c>
      <c r="U59" s="13">
        <v>0.08</v>
      </c>
      <c r="V59" s="14">
        <v>0</v>
      </c>
      <c r="W59" s="13">
        <v>0.08</v>
      </c>
      <c r="X59" s="13">
        <v>0.18</v>
      </c>
      <c r="Y59" s="14">
        <v>0</v>
      </c>
      <c r="Z59" s="14">
        <v>0</v>
      </c>
      <c r="AA59" s="13">
        <v>0.2</v>
      </c>
      <c r="AB59" s="13">
        <v>0.16</v>
      </c>
      <c r="AC59" s="13">
        <v>0.18</v>
      </c>
      <c r="AD59" s="14">
        <v>0</v>
      </c>
    </row>
    <row r="60" spans="1:30" s="3" customFormat="1" ht="21" customHeight="1" x14ac:dyDescent="0.3">
      <c r="A60" s="8">
        <v>58</v>
      </c>
      <c r="B60" s="8" t="s">
        <v>141</v>
      </c>
      <c r="C60" s="11" t="s">
        <v>170</v>
      </c>
      <c r="D60" s="11" t="s">
        <v>171</v>
      </c>
      <c r="E60" s="11" t="s">
        <v>52</v>
      </c>
      <c r="F60" s="14">
        <v>0</v>
      </c>
      <c r="G60" s="11">
        <v>0</v>
      </c>
      <c r="H60" s="11">
        <f t="shared" si="0"/>
        <v>0</v>
      </c>
      <c r="I60" s="11">
        <v>38</v>
      </c>
      <c r="J60" s="11">
        <v>5.7999999999999996E-3</v>
      </c>
      <c r="K60" s="11">
        <f t="shared" si="1"/>
        <v>0.22039999999999998</v>
      </c>
      <c r="L60" s="11">
        <v>11</v>
      </c>
      <c r="M60" s="11">
        <v>1.2E-2</v>
      </c>
      <c r="N60" s="12">
        <f t="shared" si="2"/>
        <v>0.13200000000000001</v>
      </c>
      <c r="O60" s="13">
        <v>0.11</v>
      </c>
      <c r="P60" s="13">
        <v>5.5E-2</v>
      </c>
      <c r="Q60" s="13">
        <v>0.35</v>
      </c>
      <c r="R60" s="13">
        <v>0.15</v>
      </c>
      <c r="S60" s="13">
        <v>0.11</v>
      </c>
      <c r="T60" s="13">
        <v>0.11</v>
      </c>
      <c r="U60" s="13">
        <v>0.08</v>
      </c>
      <c r="V60" s="14">
        <v>0</v>
      </c>
      <c r="W60" s="13">
        <v>0.08</v>
      </c>
      <c r="X60" s="13">
        <v>0.18</v>
      </c>
      <c r="Y60" s="14">
        <v>0</v>
      </c>
      <c r="Z60" s="14">
        <v>0</v>
      </c>
      <c r="AA60" s="13">
        <v>0.2</v>
      </c>
      <c r="AB60" s="13">
        <v>0.16</v>
      </c>
      <c r="AC60" s="13">
        <v>0.18</v>
      </c>
      <c r="AD60" s="13">
        <v>0.1</v>
      </c>
    </row>
    <row r="61" spans="1:30" s="3" customFormat="1" ht="21" customHeight="1" x14ac:dyDescent="0.3">
      <c r="A61" s="8">
        <v>59</v>
      </c>
      <c r="B61" s="8" t="s">
        <v>141</v>
      </c>
      <c r="C61" s="11" t="s">
        <v>172</v>
      </c>
      <c r="D61" s="11" t="s">
        <v>173</v>
      </c>
      <c r="E61" s="11" t="s">
        <v>52</v>
      </c>
      <c r="F61" s="14">
        <v>0</v>
      </c>
      <c r="G61" s="11">
        <v>0</v>
      </c>
      <c r="H61" s="11">
        <f t="shared" si="0"/>
        <v>0</v>
      </c>
      <c r="I61" s="11">
        <v>41</v>
      </c>
      <c r="J61" s="11">
        <v>5.7999999999999996E-3</v>
      </c>
      <c r="K61" s="11">
        <f t="shared" si="1"/>
        <v>0.23779999999999998</v>
      </c>
      <c r="L61" s="11">
        <v>13</v>
      </c>
      <c r="M61" s="11">
        <v>1.2E-2</v>
      </c>
      <c r="N61" s="12">
        <f t="shared" si="2"/>
        <v>0.156</v>
      </c>
      <c r="O61" s="13">
        <v>0.11</v>
      </c>
      <c r="P61" s="13">
        <v>5.5E-2</v>
      </c>
      <c r="Q61" s="13">
        <v>0.35</v>
      </c>
      <c r="R61" s="13">
        <v>0.15</v>
      </c>
      <c r="S61" s="13">
        <v>0.11</v>
      </c>
      <c r="T61" s="13">
        <v>0.11</v>
      </c>
      <c r="U61" s="13">
        <v>0.08</v>
      </c>
      <c r="V61" s="14">
        <v>0</v>
      </c>
      <c r="W61" s="13">
        <v>0.08</v>
      </c>
      <c r="X61" s="13">
        <v>0.18</v>
      </c>
      <c r="Y61" s="14">
        <v>0</v>
      </c>
      <c r="Z61" s="14">
        <v>0</v>
      </c>
      <c r="AA61" s="13">
        <v>0.2</v>
      </c>
      <c r="AB61" s="13">
        <v>0.16</v>
      </c>
      <c r="AC61" s="13">
        <v>0.18</v>
      </c>
      <c r="AD61" s="13">
        <v>0.15</v>
      </c>
    </row>
    <row r="62" spans="1:30" s="3" customFormat="1" ht="21" customHeight="1" x14ac:dyDescent="0.3">
      <c r="A62" s="8">
        <v>60</v>
      </c>
      <c r="B62" s="8" t="s">
        <v>141</v>
      </c>
      <c r="C62" s="11" t="s">
        <v>174</v>
      </c>
      <c r="D62" s="11" t="s">
        <v>175</v>
      </c>
      <c r="E62" s="11" t="s">
        <v>52</v>
      </c>
      <c r="F62" s="14">
        <v>0</v>
      </c>
      <c r="G62" s="11">
        <v>0</v>
      </c>
      <c r="H62" s="11">
        <f t="shared" si="0"/>
        <v>0</v>
      </c>
      <c r="I62" s="11">
        <v>53</v>
      </c>
      <c r="J62" s="11">
        <v>5.7999999999999996E-3</v>
      </c>
      <c r="K62" s="11">
        <f t="shared" si="1"/>
        <v>0.30740000000000001</v>
      </c>
      <c r="L62" s="11">
        <v>21</v>
      </c>
      <c r="M62" s="11">
        <v>1.2E-2</v>
      </c>
      <c r="N62" s="12">
        <f t="shared" si="2"/>
        <v>0.252</v>
      </c>
      <c r="O62" s="13">
        <v>0.11</v>
      </c>
      <c r="P62" s="13">
        <v>5.5E-2</v>
      </c>
      <c r="Q62" s="13">
        <v>0.35</v>
      </c>
      <c r="R62" s="13">
        <v>0.2</v>
      </c>
      <c r="S62" s="13">
        <v>0.13</v>
      </c>
      <c r="T62" s="13">
        <v>0.13</v>
      </c>
      <c r="U62" s="13">
        <v>0.08</v>
      </c>
      <c r="V62" s="14">
        <v>0</v>
      </c>
      <c r="W62" s="13">
        <v>0.12</v>
      </c>
      <c r="X62" s="13">
        <v>0.3</v>
      </c>
      <c r="Y62" s="14">
        <v>0</v>
      </c>
      <c r="Z62" s="14">
        <v>0</v>
      </c>
      <c r="AA62" s="13">
        <v>0.3</v>
      </c>
      <c r="AB62" s="13">
        <v>0.32</v>
      </c>
      <c r="AC62" s="13">
        <v>0.25</v>
      </c>
      <c r="AD62" s="14">
        <v>0</v>
      </c>
    </row>
    <row r="63" spans="1:30" s="3" customFormat="1" ht="21" customHeight="1" x14ac:dyDescent="0.3">
      <c r="A63" s="8">
        <v>61</v>
      </c>
      <c r="B63" s="8" t="s">
        <v>141</v>
      </c>
      <c r="C63" s="11" t="s">
        <v>176</v>
      </c>
      <c r="D63" s="11" t="s">
        <v>177</v>
      </c>
      <c r="E63" s="11" t="s">
        <v>52</v>
      </c>
      <c r="F63" s="14">
        <v>0</v>
      </c>
      <c r="G63" s="11">
        <v>0</v>
      </c>
      <c r="H63" s="11">
        <f t="shared" si="0"/>
        <v>0</v>
      </c>
      <c r="I63" s="11">
        <v>53</v>
      </c>
      <c r="J63" s="11">
        <v>5.7999999999999996E-3</v>
      </c>
      <c r="K63" s="11">
        <f t="shared" si="1"/>
        <v>0.30740000000000001</v>
      </c>
      <c r="L63" s="11">
        <v>24</v>
      </c>
      <c r="M63" s="11">
        <v>1.2E-2</v>
      </c>
      <c r="N63" s="12">
        <f t="shared" si="2"/>
        <v>0.28800000000000003</v>
      </c>
      <c r="O63" s="13">
        <v>0.11</v>
      </c>
      <c r="P63" s="13">
        <v>5.5E-2</v>
      </c>
      <c r="Q63" s="13">
        <v>0.5</v>
      </c>
      <c r="R63" s="13">
        <v>0.2</v>
      </c>
      <c r="S63" s="13">
        <v>0.13</v>
      </c>
      <c r="T63" s="13">
        <v>0.13</v>
      </c>
      <c r="U63" s="13">
        <v>0.08</v>
      </c>
      <c r="V63" s="14">
        <v>0</v>
      </c>
      <c r="W63" s="13">
        <v>0.12</v>
      </c>
      <c r="X63" s="13">
        <v>0.3</v>
      </c>
      <c r="Y63" s="14">
        <v>0</v>
      </c>
      <c r="Z63" s="14">
        <v>0</v>
      </c>
      <c r="AA63" s="13">
        <v>0.3</v>
      </c>
      <c r="AB63" s="13">
        <v>0.32</v>
      </c>
      <c r="AC63" s="13">
        <v>0.25</v>
      </c>
      <c r="AD63" s="14">
        <v>0</v>
      </c>
    </row>
    <row r="64" spans="1:30" s="3" customFormat="1" ht="21" customHeight="1" x14ac:dyDescent="0.3">
      <c r="A64" s="8">
        <v>62</v>
      </c>
      <c r="B64" s="8" t="s">
        <v>141</v>
      </c>
      <c r="C64" s="11" t="s">
        <v>178</v>
      </c>
      <c r="D64" s="11" t="s">
        <v>179</v>
      </c>
      <c r="E64" s="11" t="s">
        <v>52</v>
      </c>
      <c r="F64" s="14">
        <v>0</v>
      </c>
      <c r="G64" s="11">
        <v>0</v>
      </c>
      <c r="H64" s="11">
        <f t="shared" si="0"/>
        <v>0</v>
      </c>
      <c r="I64" s="11">
        <v>53</v>
      </c>
      <c r="J64" s="11">
        <v>5.7999999999999996E-3</v>
      </c>
      <c r="K64" s="11">
        <f t="shared" si="1"/>
        <v>0.30740000000000001</v>
      </c>
      <c r="L64" s="11">
        <v>24</v>
      </c>
      <c r="M64" s="11">
        <v>1.2E-2</v>
      </c>
      <c r="N64" s="12">
        <f t="shared" si="2"/>
        <v>0.28800000000000003</v>
      </c>
      <c r="O64" s="13">
        <v>0.11</v>
      </c>
      <c r="P64" s="13">
        <v>5.5E-2</v>
      </c>
      <c r="Q64" s="13">
        <v>0.5</v>
      </c>
      <c r="R64" s="13">
        <v>0.2</v>
      </c>
      <c r="S64" s="13">
        <v>0.13</v>
      </c>
      <c r="T64" s="13">
        <v>0.13</v>
      </c>
      <c r="U64" s="13">
        <v>0.08</v>
      </c>
      <c r="V64" s="14">
        <v>0</v>
      </c>
      <c r="W64" s="13">
        <v>0.12</v>
      </c>
      <c r="X64" s="13">
        <v>0.3</v>
      </c>
      <c r="Y64" s="14">
        <v>0</v>
      </c>
      <c r="Z64" s="14">
        <v>0</v>
      </c>
      <c r="AA64" s="13">
        <v>0.3</v>
      </c>
      <c r="AB64" s="13">
        <v>0.32</v>
      </c>
      <c r="AC64" s="13">
        <v>0.25</v>
      </c>
      <c r="AD64" s="14">
        <v>0</v>
      </c>
    </row>
    <row r="65" spans="1:30" s="3" customFormat="1" ht="21" customHeight="1" x14ac:dyDescent="0.3">
      <c r="A65" s="8">
        <v>63</v>
      </c>
      <c r="B65" s="8" t="s">
        <v>141</v>
      </c>
      <c r="C65" s="11" t="s">
        <v>180</v>
      </c>
      <c r="D65" s="11" t="s">
        <v>181</v>
      </c>
      <c r="E65" s="11" t="s">
        <v>52</v>
      </c>
      <c r="F65" s="14">
        <v>0</v>
      </c>
      <c r="G65" s="11">
        <v>0</v>
      </c>
      <c r="H65" s="11">
        <f t="shared" si="0"/>
        <v>0</v>
      </c>
      <c r="I65" s="11">
        <v>54</v>
      </c>
      <c r="J65" s="11">
        <v>5.7999999999999996E-3</v>
      </c>
      <c r="K65" s="11">
        <f t="shared" si="1"/>
        <v>0.31319999999999998</v>
      </c>
      <c r="L65" s="11">
        <v>27</v>
      </c>
      <c r="M65" s="11">
        <v>1.2E-2</v>
      </c>
      <c r="N65" s="12">
        <f t="shared" si="2"/>
        <v>0.32400000000000001</v>
      </c>
      <c r="O65" s="13">
        <v>0.11</v>
      </c>
      <c r="P65" s="13">
        <v>5.5E-2</v>
      </c>
      <c r="Q65" s="13">
        <v>0.6</v>
      </c>
      <c r="R65" s="13">
        <v>0.2</v>
      </c>
      <c r="S65" s="13">
        <v>0.13</v>
      </c>
      <c r="T65" s="13">
        <v>0.13</v>
      </c>
      <c r="U65" s="13">
        <v>0.08</v>
      </c>
      <c r="V65" s="14">
        <v>0</v>
      </c>
      <c r="W65" s="13">
        <v>0.12</v>
      </c>
      <c r="X65" s="13">
        <v>0.3</v>
      </c>
      <c r="Y65" s="14">
        <v>0</v>
      </c>
      <c r="Z65" s="14">
        <v>0</v>
      </c>
      <c r="AA65" s="13">
        <v>0.3</v>
      </c>
      <c r="AB65" s="13">
        <v>0.32</v>
      </c>
      <c r="AC65" s="13">
        <v>0.25</v>
      </c>
      <c r="AD65" s="14">
        <v>0</v>
      </c>
    </row>
    <row r="66" spans="1:30" s="3" customFormat="1" ht="21" customHeight="1" x14ac:dyDescent="0.3">
      <c r="A66" s="8">
        <v>64</v>
      </c>
      <c r="B66" s="8" t="s">
        <v>182</v>
      </c>
      <c r="C66" s="11" t="s">
        <v>183</v>
      </c>
      <c r="D66" s="11" t="s">
        <v>184</v>
      </c>
      <c r="E66" s="11" t="s">
        <v>98</v>
      </c>
      <c r="F66" s="11">
        <v>0</v>
      </c>
      <c r="G66" s="11">
        <v>0</v>
      </c>
      <c r="H66" s="11">
        <f t="shared" si="0"/>
        <v>0</v>
      </c>
      <c r="I66" s="11">
        <v>72</v>
      </c>
      <c r="J66" s="11">
        <v>5.7999999999999996E-3</v>
      </c>
      <c r="K66" s="11">
        <f t="shared" si="1"/>
        <v>0.41759999999999997</v>
      </c>
      <c r="L66" s="11">
        <v>26</v>
      </c>
      <c r="M66" s="11">
        <v>1.2E-2</v>
      </c>
      <c r="N66" s="12">
        <f t="shared" si="2"/>
        <v>0.312</v>
      </c>
      <c r="O66" s="13">
        <v>0.1</v>
      </c>
      <c r="P66" s="13">
        <v>5.5E-2</v>
      </c>
      <c r="Q66" s="13">
        <v>0.4</v>
      </c>
      <c r="R66" s="13">
        <v>0.08</v>
      </c>
      <c r="S66" s="13">
        <v>4.1000000000000002E-2</v>
      </c>
      <c r="T66" s="13">
        <v>4.1000000000000002E-2</v>
      </c>
      <c r="U66" s="13">
        <v>0.05</v>
      </c>
      <c r="V66" s="13">
        <v>0.06</v>
      </c>
      <c r="W66" s="13">
        <v>0.08</v>
      </c>
      <c r="X66" s="13">
        <v>0.16</v>
      </c>
      <c r="Y66" s="14">
        <v>0</v>
      </c>
      <c r="Z66" s="14">
        <v>0</v>
      </c>
      <c r="AA66" s="15">
        <v>0</v>
      </c>
      <c r="AB66" s="14">
        <v>0</v>
      </c>
      <c r="AC66" s="14">
        <v>0</v>
      </c>
      <c r="AD66" s="15">
        <v>0</v>
      </c>
    </row>
    <row r="67" spans="1:30" s="3" customFormat="1" ht="21" customHeight="1" x14ac:dyDescent="0.3">
      <c r="A67" s="8">
        <v>65</v>
      </c>
      <c r="B67" s="8" t="s">
        <v>182</v>
      </c>
      <c r="C67" s="11" t="s">
        <v>185</v>
      </c>
      <c r="D67" s="11" t="s">
        <v>186</v>
      </c>
      <c r="E67" s="11" t="s">
        <v>98</v>
      </c>
      <c r="F67" s="11">
        <v>0</v>
      </c>
      <c r="G67" s="11">
        <v>0</v>
      </c>
      <c r="H67" s="11">
        <f t="shared" ref="H67:H97" si="3">+F67*G67</f>
        <v>0</v>
      </c>
      <c r="I67" s="11">
        <v>51</v>
      </c>
      <c r="J67" s="11">
        <v>5.7999999999999996E-3</v>
      </c>
      <c r="K67" s="11">
        <f t="shared" ref="K67:K97" si="4">+I67*J67</f>
        <v>0.29579999999999995</v>
      </c>
      <c r="L67" s="11">
        <v>28</v>
      </c>
      <c r="M67" s="11">
        <v>1.2E-2</v>
      </c>
      <c r="N67" s="12">
        <f t="shared" ref="N67:N97" si="5">+L67*M67</f>
        <v>0.33600000000000002</v>
      </c>
      <c r="O67" s="13">
        <v>0.1</v>
      </c>
      <c r="P67" s="13">
        <v>5.5E-2</v>
      </c>
      <c r="Q67" s="13">
        <v>0.4</v>
      </c>
      <c r="R67" s="13">
        <v>0.08</v>
      </c>
      <c r="S67" s="13">
        <v>4.1000000000000002E-2</v>
      </c>
      <c r="T67" s="13">
        <v>4.1000000000000002E-2</v>
      </c>
      <c r="U67" s="13">
        <v>0.05</v>
      </c>
      <c r="V67" s="13">
        <v>0.06</v>
      </c>
      <c r="W67" s="13">
        <v>0.08</v>
      </c>
      <c r="X67" s="15">
        <v>0</v>
      </c>
      <c r="Y67" s="15">
        <v>0</v>
      </c>
      <c r="Z67" s="15">
        <v>0</v>
      </c>
      <c r="AA67" s="15">
        <v>0</v>
      </c>
      <c r="AB67" s="14">
        <v>0</v>
      </c>
      <c r="AC67" s="14">
        <v>0</v>
      </c>
      <c r="AD67" s="15">
        <v>0</v>
      </c>
    </row>
    <row r="68" spans="1:30" s="3" customFormat="1" ht="21" customHeight="1" x14ac:dyDescent="0.3">
      <c r="A68" s="8">
        <v>66</v>
      </c>
      <c r="B68" s="8" t="s">
        <v>182</v>
      </c>
      <c r="C68" s="11" t="s">
        <v>187</v>
      </c>
      <c r="D68" s="11" t="s">
        <v>188</v>
      </c>
      <c r="E68" s="11" t="s">
        <v>98</v>
      </c>
      <c r="F68" s="11">
        <v>0</v>
      </c>
      <c r="G68" s="11">
        <v>0</v>
      </c>
      <c r="H68" s="11">
        <f t="shared" si="3"/>
        <v>0</v>
      </c>
      <c r="I68" s="11">
        <v>39</v>
      </c>
      <c r="J68" s="11">
        <v>5.7999999999999996E-3</v>
      </c>
      <c r="K68" s="11">
        <f t="shared" si="4"/>
        <v>0.22619999999999998</v>
      </c>
      <c r="L68" s="11">
        <v>10</v>
      </c>
      <c r="M68" s="11">
        <v>1.2E-2</v>
      </c>
      <c r="N68" s="12">
        <f t="shared" si="5"/>
        <v>0.12</v>
      </c>
      <c r="O68" s="13">
        <v>0.1</v>
      </c>
      <c r="P68" s="13">
        <v>5.5E-2</v>
      </c>
      <c r="Q68" s="13">
        <v>0.18</v>
      </c>
      <c r="R68" s="13">
        <v>0.08</v>
      </c>
      <c r="S68" s="13">
        <v>4.1000000000000002E-2</v>
      </c>
      <c r="T68" s="13">
        <v>4.1000000000000002E-2</v>
      </c>
      <c r="U68" s="13">
        <v>0.05</v>
      </c>
      <c r="V68" s="13">
        <v>0.06</v>
      </c>
      <c r="W68" s="13">
        <v>0.08</v>
      </c>
      <c r="X68" s="15">
        <v>0</v>
      </c>
      <c r="Y68" s="15">
        <v>0</v>
      </c>
      <c r="Z68" s="15">
        <v>0</v>
      </c>
      <c r="AA68" s="15">
        <v>0</v>
      </c>
      <c r="AB68" s="14">
        <v>0</v>
      </c>
      <c r="AC68" s="14">
        <v>0</v>
      </c>
      <c r="AD68" s="15">
        <v>0</v>
      </c>
    </row>
    <row r="69" spans="1:30" s="3" customFormat="1" ht="21" customHeight="1" x14ac:dyDescent="0.3">
      <c r="A69" s="8">
        <v>67</v>
      </c>
      <c r="B69" s="8" t="s">
        <v>182</v>
      </c>
      <c r="C69" s="11" t="s">
        <v>189</v>
      </c>
      <c r="D69" s="11" t="s">
        <v>190</v>
      </c>
      <c r="E69" s="11" t="s">
        <v>98</v>
      </c>
      <c r="F69" s="11">
        <v>0</v>
      </c>
      <c r="G69" s="11">
        <v>0</v>
      </c>
      <c r="H69" s="11">
        <f t="shared" si="3"/>
        <v>0</v>
      </c>
      <c r="I69" s="11">
        <v>39</v>
      </c>
      <c r="J69" s="11">
        <v>5.7999999999999996E-3</v>
      </c>
      <c r="K69" s="11">
        <f t="shared" si="4"/>
        <v>0.22619999999999998</v>
      </c>
      <c r="L69" s="11">
        <v>10</v>
      </c>
      <c r="M69" s="11">
        <v>1.2E-2</v>
      </c>
      <c r="N69" s="12">
        <f t="shared" si="5"/>
        <v>0.12</v>
      </c>
      <c r="O69" s="13">
        <v>0.1</v>
      </c>
      <c r="P69" s="13">
        <v>5.5E-2</v>
      </c>
      <c r="Q69" s="13">
        <v>0.18</v>
      </c>
      <c r="R69" s="13">
        <v>0.08</v>
      </c>
      <c r="S69" s="13">
        <v>4.1000000000000002E-2</v>
      </c>
      <c r="T69" s="13">
        <v>4.1000000000000002E-2</v>
      </c>
      <c r="U69" s="13">
        <v>0.05</v>
      </c>
      <c r="V69" s="13">
        <v>0.06</v>
      </c>
      <c r="W69" s="13">
        <v>0.08</v>
      </c>
      <c r="X69" s="15">
        <v>0</v>
      </c>
      <c r="Y69" s="15">
        <v>0</v>
      </c>
      <c r="Z69" s="15">
        <v>0</v>
      </c>
      <c r="AA69" s="15">
        <v>0</v>
      </c>
      <c r="AB69" s="14">
        <v>0</v>
      </c>
      <c r="AC69" s="14">
        <v>0</v>
      </c>
      <c r="AD69" s="15">
        <v>0</v>
      </c>
    </row>
    <row r="70" spans="1:30" s="3" customFormat="1" ht="21" customHeight="1" x14ac:dyDescent="0.3">
      <c r="A70" s="8">
        <v>68</v>
      </c>
      <c r="B70" s="8" t="s">
        <v>182</v>
      </c>
      <c r="C70" s="11" t="s">
        <v>191</v>
      </c>
      <c r="D70" s="11" t="s">
        <v>192</v>
      </c>
      <c r="E70" s="11" t="s">
        <v>98</v>
      </c>
      <c r="F70" s="11">
        <v>0</v>
      </c>
      <c r="G70" s="11">
        <v>0</v>
      </c>
      <c r="H70" s="11">
        <f t="shared" si="3"/>
        <v>0</v>
      </c>
      <c r="I70" s="11">
        <v>35</v>
      </c>
      <c r="J70" s="11">
        <v>5.7999999999999996E-3</v>
      </c>
      <c r="K70" s="11">
        <f t="shared" si="4"/>
        <v>0.20299999999999999</v>
      </c>
      <c r="L70" s="11">
        <v>22</v>
      </c>
      <c r="M70" s="11">
        <v>1.2E-2</v>
      </c>
      <c r="N70" s="12">
        <f t="shared" si="5"/>
        <v>0.26400000000000001</v>
      </c>
      <c r="O70" s="13">
        <v>0.1</v>
      </c>
      <c r="P70" s="13">
        <v>5.5E-2</v>
      </c>
      <c r="Q70" s="13">
        <v>0.36</v>
      </c>
      <c r="R70" s="13">
        <v>0.08</v>
      </c>
      <c r="S70" s="13">
        <v>4.1000000000000002E-2</v>
      </c>
      <c r="T70" s="13">
        <v>4.1000000000000002E-2</v>
      </c>
      <c r="U70" s="13">
        <v>0.05</v>
      </c>
      <c r="V70" s="13">
        <v>0.06</v>
      </c>
      <c r="W70" s="13">
        <v>0.08</v>
      </c>
      <c r="X70" s="15">
        <v>0</v>
      </c>
      <c r="Y70" s="15">
        <v>0</v>
      </c>
      <c r="Z70" s="15">
        <v>0</v>
      </c>
      <c r="AA70" s="15">
        <v>0</v>
      </c>
      <c r="AB70" s="14">
        <v>0</v>
      </c>
      <c r="AC70" s="14">
        <v>0</v>
      </c>
      <c r="AD70" s="15">
        <v>0</v>
      </c>
    </row>
    <row r="71" spans="1:30" s="3" customFormat="1" ht="21" customHeight="1" x14ac:dyDescent="0.3">
      <c r="A71" s="8">
        <v>69</v>
      </c>
      <c r="B71" s="8" t="s">
        <v>182</v>
      </c>
      <c r="C71" s="11" t="s">
        <v>193</v>
      </c>
      <c r="D71" s="11" t="s">
        <v>194</v>
      </c>
      <c r="E71" s="11" t="s">
        <v>98</v>
      </c>
      <c r="F71" s="11">
        <v>0</v>
      </c>
      <c r="G71" s="11">
        <v>0</v>
      </c>
      <c r="H71" s="11">
        <f t="shared" si="3"/>
        <v>0</v>
      </c>
      <c r="I71" s="11">
        <v>39</v>
      </c>
      <c r="J71" s="11">
        <v>5.7999999999999996E-3</v>
      </c>
      <c r="K71" s="11">
        <f t="shared" si="4"/>
        <v>0.22619999999999998</v>
      </c>
      <c r="L71" s="11">
        <v>25</v>
      </c>
      <c r="M71" s="11">
        <v>1.2E-2</v>
      </c>
      <c r="N71" s="12">
        <f t="shared" si="5"/>
        <v>0.3</v>
      </c>
      <c r="O71" s="13">
        <v>0.1</v>
      </c>
      <c r="P71" s="13">
        <v>5.5E-2</v>
      </c>
      <c r="Q71" s="13">
        <v>0.36</v>
      </c>
      <c r="R71" s="13">
        <v>0.08</v>
      </c>
      <c r="S71" s="13">
        <v>4.1000000000000002E-2</v>
      </c>
      <c r="T71" s="13">
        <v>4.1000000000000002E-2</v>
      </c>
      <c r="U71" s="13">
        <v>0.05</v>
      </c>
      <c r="V71" s="13">
        <v>0.06</v>
      </c>
      <c r="W71" s="13">
        <v>0.08</v>
      </c>
      <c r="X71" s="15">
        <v>0</v>
      </c>
      <c r="Y71" s="15">
        <v>0</v>
      </c>
      <c r="Z71" s="15">
        <v>0</v>
      </c>
      <c r="AA71" s="15">
        <v>0</v>
      </c>
      <c r="AB71" s="14">
        <v>0</v>
      </c>
      <c r="AC71" s="14">
        <v>0</v>
      </c>
      <c r="AD71" s="15">
        <v>0</v>
      </c>
    </row>
    <row r="72" spans="1:30" s="3" customFormat="1" ht="21" customHeight="1" x14ac:dyDescent="0.3">
      <c r="A72" s="8">
        <v>70</v>
      </c>
      <c r="B72" s="8" t="s">
        <v>182</v>
      </c>
      <c r="C72" s="11" t="s">
        <v>195</v>
      </c>
      <c r="D72" s="11" t="s">
        <v>196</v>
      </c>
      <c r="E72" s="11" t="s">
        <v>98</v>
      </c>
      <c r="F72" s="11">
        <v>0</v>
      </c>
      <c r="G72" s="11">
        <v>0</v>
      </c>
      <c r="H72" s="11">
        <f t="shared" si="3"/>
        <v>0</v>
      </c>
      <c r="I72" s="11">
        <v>50</v>
      </c>
      <c r="J72" s="11">
        <v>5.7999999999999996E-3</v>
      </c>
      <c r="K72" s="11">
        <f t="shared" si="4"/>
        <v>0.28999999999999998</v>
      </c>
      <c r="L72" s="11">
        <v>30</v>
      </c>
      <c r="M72" s="11">
        <v>1.2E-2</v>
      </c>
      <c r="N72" s="12">
        <f t="shared" si="5"/>
        <v>0.36</v>
      </c>
      <c r="O72" s="13">
        <v>0.1</v>
      </c>
      <c r="P72" s="13">
        <v>5.5E-2</v>
      </c>
      <c r="Q72" s="13">
        <v>0.39</v>
      </c>
      <c r="R72" s="13">
        <v>0.08</v>
      </c>
      <c r="S72" s="13">
        <v>4.1000000000000002E-2</v>
      </c>
      <c r="T72" s="13">
        <v>4.1000000000000002E-2</v>
      </c>
      <c r="U72" s="13">
        <v>0.05</v>
      </c>
      <c r="V72" s="13">
        <v>0.06</v>
      </c>
      <c r="W72" s="13">
        <v>0.08</v>
      </c>
      <c r="X72" s="15">
        <v>0</v>
      </c>
      <c r="Y72" s="15">
        <v>0</v>
      </c>
      <c r="Z72" s="15">
        <v>0</v>
      </c>
      <c r="AA72" s="15">
        <v>0</v>
      </c>
      <c r="AB72" s="14">
        <v>0</v>
      </c>
      <c r="AC72" s="14">
        <v>0</v>
      </c>
      <c r="AD72" s="15">
        <v>0</v>
      </c>
    </row>
    <row r="73" spans="1:30" s="3" customFormat="1" ht="21" customHeight="1" x14ac:dyDescent="0.3">
      <c r="A73" s="8">
        <v>71</v>
      </c>
      <c r="B73" s="8" t="s">
        <v>182</v>
      </c>
      <c r="C73" s="11" t="s">
        <v>197</v>
      </c>
      <c r="D73" s="11" t="s">
        <v>198</v>
      </c>
      <c r="E73" s="11" t="s">
        <v>98</v>
      </c>
      <c r="F73" s="11">
        <v>0</v>
      </c>
      <c r="G73" s="11">
        <v>0</v>
      </c>
      <c r="H73" s="11">
        <f t="shared" si="3"/>
        <v>0</v>
      </c>
      <c r="I73" s="11">
        <v>49</v>
      </c>
      <c r="J73" s="11">
        <v>5.7999999999999996E-3</v>
      </c>
      <c r="K73" s="11">
        <f t="shared" si="4"/>
        <v>0.28420000000000001</v>
      </c>
      <c r="L73" s="11">
        <v>43</v>
      </c>
      <c r="M73" s="11">
        <v>1.2E-2</v>
      </c>
      <c r="N73" s="12">
        <f t="shared" si="5"/>
        <v>0.51600000000000001</v>
      </c>
      <c r="O73" s="13">
        <v>0.1</v>
      </c>
      <c r="P73" s="13">
        <v>5.5E-2</v>
      </c>
      <c r="Q73" s="13">
        <v>0.4</v>
      </c>
      <c r="R73" s="13">
        <v>0.08</v>
      </c>
      <c r="S73" s="13">
        <v>4.1000000000000002E-2</v>
      </c>
      <c r="T73" s="13">
        <v>4.1000000000000002E-2</v>
      </c>
      <c r="U73" s="13">
        <v>0.05</v>
      </c>
      <c r="V73" s="13">
        <v>0.06</v>
      </c>
      <c r="W73" s="13">
        <v>0.08</v>
      </c>
      <c r="X73" s="15">
        <v>0</v>
      </c>
      <c r="Y73" s="15">
        <v>0</v>
      </c>
      <c r="Z73" s="15">
        <v>0</v>
      </c>
      <c r="AA73" s="15">
        <v>0</v>
      </c>
      <c r="AB73" s="14">
        <v>0</v>
      </c>
      <c r="AC73" s="14">
        <v>0</v>
      </c>
      <c r="AD73" s="15">
        <v>0</v>
      </c>
    </row>
    <row r="74" spans="1:30" s="3" customFormat="1" ht="21" customHeight="1" x14ac:dyDescent="0.3">
      <c r="A74" s="8">
        <v>72</v>
      </c>
      <c r="B74" s="8" t="s">
        <v>182</v>
      </c>
      <c r="C74" s="8" t="s">
        <v>199</v>
      </c>
      <c r="D74" s="11" t="s">
        <v>200</v>
      </c>
      <c r="E74" s="11" t="s">
        <v>98</v>
      </c>
      <c r="F74" s="11">
        <v>0</v>
      </c>
      <c r="G74" s="11">
        <v>0</v>
      </c>
      <c r="H74" s="11">
        <f t="shared" si="3"/>
        <v>0</v>
      </c>
      <c r="I74" s="11">
        <v>35</v>
      </c>
      <c r="J74" s="11">
        <v>5.7999999999999996E-3</v>
      </c>
      <c r="K74" s="11">
        <f t="shared" si="4"/>
        <v>0.20299999999999999</v>
      </c>
      <c r="L74" s="11">
        <v>22</v>
      </c>
      <c r="M74" s="11">
        <v>1.2E-2</v>
      </c>
      <c r="N74" s="12">
        <f t="shared" si="5"/>
        <v>0.26400000000000001</v>
      </c>
      <c r="O74" s="13">
        <v>0.1</v>
      </c>
      <c r="P74" s="13">
        <v>5.5E-2</v>
      </c>
      <c r="Q74" s="13">
        <v>0.36</v>
      </c>
      <c r="R74" s="13">
        <v>0.08</v>
      </c>
      <c r="S74" s="13">
        <v>4.1000000000000002E-2</v>
      </c>
      <c r="T74" s="13">
        <v>4.1000000000000002E-2</v>
      </c>
      <c r="U74" s="13">
        <v>0.05</v>
      </c>
      <c r="V74" s="13">
        <v>0.06</v>
      </c>
      <c r="W74" s="13">
        <v>0.08</v>
      </c>
      <c r="X74" s="15">
        <v>0</v>
      </c>
      <c r="Y74" s="15">
        <v>0</v>
      </c>
      <c r="Z74" s="15">
        <v>0</v>
      </c>
      <c r="AA74" s="15">
        <v>0</v>
      </c>
      <c r="AB74" s="14">
        <v>0</v>
      </c>
      <c r="AC74" s="14">
        <v>0</v>
      </c>
      <c r="AD74" s="15">
        <v>0</v>
      </c>
    </row>
    <row r="75" spans="1:30" s="3" customFormat="1" ht="21" customHeight="1" x14ac:dyDescent="0.3">
      <c r="A75" s="8">
        <v>73</v>
      </c>
      <c r="B75" s="8" t="s">
        <v>182</v>
      </c>
      <c r="C75" s="8" t="s">
        <v>201</v>
      </c>
      <c r="D75" s="11" t="s">
        <v>202</v>
      </c>
      <c r="E75" s="11" t="s">
        <v>98</v>
      </c>
      <c r="F75" s="11">
        <v>0</v>
      </c>
      <c r="G75" s="11">
        <v>0</v>
      </c>
      <c r="H75" s="11">
        <f t="shared" si="3"/>
        <v>0</v>
      </c>
      <c r="I75" s="11">
        <v>39</v>
      </c>
      <c r="J75" s="11">
        <v>5.7999999999999996E-3</v>
      </c>
      <c r="K75" s="11">
        <f t="shared" si="4"/>
        <v>0.22619999999999998</v>
      </c>
      <c r="L75" s="11">
        <v>23</v>
      </c>
      <c r="M75" s="11">
        <v>1.2E-2</v>
      </c>
      <c r="N75" s="12">
        <f t="shared" si="5"/>
        <v>0.27600000000000002</v>
      </c>
      <c r="O75" s="13">
        <v>0.1</v>
      </c>
      <c r="P75" s="13">
        <v>5.5E-2</v>
      </c>
      <c r="Q75" s="13">
        <v>0.36</v>
      </c>
      <c r="R75" s="13">
        <v>0.08</v>
      </c>
      <c r="S75" s="13">
        <v>4.1000000000000002E-2</v>
      </c>
      <c r="T75" s="13">
        <v>4.1000000000000002E-2</v>
      </c>
      <c r="U75" s="13">
        <v>0.05</v>
      </c>
      <c r="V75" s="13">
        <v>0.06</v>
      </c>
      <c r="W75" s="13">
        <v>0.08</v>
      </c>
      <c r="X75" s="15">
        <v>0</v>
      </c>
      <c r="Y75" s="15">
        <v>0</v>
      </c>
      <c r="Z75" s="15">
        <v>0</v>
      </c>
      <c r="AA75" s="15">
        <v>0</v>
      </c>
      <c r="AB75" s="14">
        <v>0</v>
      </c>
      <c r="AC75" s="14">
        <v>0</v>
      </c>
      <c r="AD75" s="15">
        <v>0</v>
      </c>
    </row>
    <row r="76" spans="1:30" s="3" customFormat="1" ht="21" customHeight="1" x14ac:dyDescent="0.3">
      <c r="A76" s="8">
        <v>74</v>
      </c>
      <c r="B76" s="8" t="s">
        <v>182</v>
      </c>
      <c r="C76" s="8" t="s">
        <v>203</v>
      </c>
      <c r="D76" s="11" t="s">
        <v>204</v>
      </c>
      <c r="E76" s="11" t="s">
        <v>98</v>
      </c>
      <c r="F76" s="11">
        <v>0</v>
      </c>
      <c r="G76" s="11">
        <v>0</v>
      </c>
      <c r="H76" s="11">
        <f t="shared" si="3"/>
        <v>0</v>
      </c>
      <c r="I76" s="11">
        <v>50</v>
      </c>
      <c r="J76" s="11">
        <v>5.7999999999999996E-3</v>
      </c>
      <c r="K76" s="11">
        <f t="shared" si="4"/>
        <v>0.28999999999999998</v>
      </c>
      <c r="L76" s="11">
        <v>28</v>
      </c>
      <c r="M76" s="11">
        <v>1.2E-2</v>
      </c>
      <c r="N76" s="12">
        <f t="shared" si="5"/>
        <v>0.33600000000000002</v>
      </c>
      <c r="O76" s="13">
        <v>0.1</v>
      </c>
      <c r="P76" s="13">
        <v>5.5E-2</v>
      </c>
      <c r="Q76" s="13">
        <v>0.39</v>
      </c>
      <c r="R76" s="13">
        <v>0.08</v>
      </c>
      <c r="S76" s="13">
        <v>4.1000000000000002E-2</v>
      </c>
      <c r="T76" s="13">
        <v>4.1000000000000002E-2</v>
      </c>
      <c r="U76" s="13">
        <v>0.05</v>
      </c>
      <c r="V76" s="13">
        <v>0.06</v>
      </c>
      <c r="W76" s="13">
        <v>0.08</v>
      </c>
      <c r="X76" s="15">
        <v>0</v>
      </c>
      <c r="Y76" s="15">
        <v>0</v>
      </c>
      <c r="Z76" s="15">
        <v>0</v>
      </c>
      <c r="AA76" s="15">
        <v>0</v>
      </c>
      <c r="AB76" s="14">
        <v>0</v>
      </c>
      <c r="AC76" s="14">
        <v>0</v>
      </c>
      <c r="AD76" s="15">
        <v>0</v>
      </c>
    </row>
    <row r="77" spans="1:30" s="3" customFormat="1" ht="21" customHeight="1" x14ac:dyDescent="0.3">
      <c r="A77" s="8">
        <v>75</v>
      </c>
      <c r="B77" s="8" t="s">
        <v>182</v>
      </c>
      <c r="C77" s="8" t="s">
        <v>205</v>
      </c>
      <c r="D77" s="11" t="s">
        <v>206</v>
      </c>
      <c r="E77" s="11" t="s">
        <v>98</v>
      </c>
      <c r="F77" s="11">
        <v>0</v>
      </c>
      <c r="G77" s="11">
        <v>0</v>
      </c>
      <c r="H77" s="11">
        <f t="shared" si="3"/>
        <v>0</v>
      </c>
      <c r="I77" s="11">
        <v>46</v>
      </c>
      <c r="J77" s="11">
        <v>5.7999999999999996E-3</v>
      </c>
      <c r="K77" s="11">
        <f t="shared" si="4"/>
        <v>0.26679999999999998</v>
      </c>
      <c r="L77" s="11">
        <v>40</v>
      </c>
      <c r="M77" s="11">
        <v>1.2E-2</v>
      </c>
      <c r="N77" s="12">
        <f t="shared" si="5"/>
        <v>0.48</v>
      </c>
      <c r="O77" s="13">
        <v>0.1</v>
      </c>
      <c r="P77" s="13">
        <v>5.5E-2</v>
      </c>
      <c r="Q77" s="13">
        <v>0.4</v>
      </c>
      <c r="R77" s="13">
        <v>0.08</v>
      </c>
      <c r="S77" s="13">
        <v>4.1000000000000002E-2</v>
      </c>
      <c r="T77" s="13">
        <v>4.1000000000000002E-2</v>
      </c>
      <c r="U77" s="13">
        <v>0.05</v>
      </c>
      <c r="V77" s="13">
        <v>0.06</v>
      </c>
      <c r="W77" s="13">
        <v>0.08</v>
      </c>
      <c r="X77" s="15">
        <v>0</v>
      </c>
      <c r="Y77" s="15">
        <v>0</v>
      </c>
      <c r="Z77" s="15">
        <v>0</v>
      </c>
      <c r="AA77" s="15">
        <v>0</v>
      </c>
      <c r="AB77" s="14">
        <v>0</v>
      </c>
      <c r="AC77" s="14">
        <v>0</v>
      </c>
      <c r="AD77" s="15">
        <v>0</v>
      </c>
    </row>
    <row r="78" spans="1:30" s="3" customFormat="1" ht="21" customHeight="1" x14ac:dyDescent="0.3">
      <c r="A78" s="8">
        <v>76</v>
      </c>
      <c r="B78" s="8" t="s">
        <v>182</v>
      </c>
      <c r="C78" s="8" t="s">
        <v>207</v>
      </c>
      <c r="D78" s="11" t="s">
        <v>208</v>
      </c>
      <c r="E78" s="11"/>
      <c r="F78" s="11">
        <v>0</v>
      </c>
      <c r="G78" s="11">
        <v>0</v>
      </c>
      <c r="H78" s="11">
        <f t="shared" si="3"/>
        <v>0</v>
      </c>
      <c r="I78" s="11">
        <v>39</v>
      </c>
      <c r="J78" s="11">
        <v>5.7999999999999996E-3</v>
      </c>
      <c r="K78" s="11">
        <f t="shared" si="4"/>
        <v>0.22619999999999998</v>
      </c>
      <c r="L78" s="11">
        <v>10</v>
      </c>
      <c r="M78" s="11">
        <v>1.2E-2</v>
      </c>
      <c r="N78" s="12">
        <f t="shared" si="5"/>
        <v>0.12</v>
      </c>
      <c r="O78" s="13">
        <v>0.1</v>
      </c>
      <c r="P78" s="13">
        <v>5.5E-2</v>
      </c>
      <c r="Q78" s="13">
        <v>0.18</v>
      </c>
      <c r="R78" s="13">
        <v>0.08</v>
      </c>
      <c r="S78" s="13">
        <v>4.1000000000000002E-2</v>
      </c>
      <c r="T78" s="13">
        <v>4.1000000000000002E-2</v>
      </c>
      <c r="U78" s="13">
        <v>0.05</v>
      </c>
      <c r="V78" s="13">
        <v>0.06</v>
      </c>
      <c r="W78" s="13">
        <v>0.08</v>
      </c>
      <c r="X78" s="15">
        <v>0</v>
      </c>
      <c r="Y78" s="15">
        <v>0</v>
      </c>
      <c r="Z78" s="15">
        <v>0</v>
      </c>
      <c r="AA78" s="15">
        <v>0</v>
      </c>
      <c r="AB78" s="14">
        <v>0</v>
      </c>
      <c r="AC78" s="14">
        <v>0</v>
      </c>
      <c r="AD78" s="15">
        <v>0</v>
      </c>
    </row>
    <row r="79" spans="1:30" s="3" customFormat="1" ht="21" customHeight="1" x14ac:dyDescent="0.3">
      <c r="A79" s="8">
        <v>77</v>
      </c>
      <c r="B79" s="8" t="s">
        <v>182</v>
      </c>
      <c r="C79" s="11" t="s">
        <v>209</v>
      </c>
      <c r="D79" s="11" t="s">
        <v>210</v>
      </c>
      <c r="E79" s="11" t="s">
        <v>98</v>
      </c>
      <c r="F79" s="11">
        <v>0</v>
      </c>
      <c r="G79" s="11">
        <v>0</v>
      </c>
      <c r="H79" s="11">
        <f t="shared" si="3"/>
        <v>0</v>
      </c>
      <c r="I79" s="11">
        <v>41</v>
      </c>
      <c r="J79" s="11">
        <v>5.7999999999999996E-3</v>
      </c>
      <c r="K79" s="11">
        <f t="shared" si="4"/>
        <v>0.23779999999999998</v>
      </c>
      <c r="L79" s="11">
        <v>26</v>
      </c>
      <c r="M79" s="11">
        <v>1.2E-2</v>
      </c>
      <c r="N79" s="12">
        <f t="shared" si="5"/>
        <v>0.312</v>
      </c>
      <c r="O79" s="13">
        <v>0.1</v>
      </c>
      <c r="P79" s="13">
        <v>5.5E-2</v>
      </c>
      <c r="Q79" s="13">
        <v>0.39</v>
      </c>
      <c r="R79" s="13">
        <v>0.08</v>
      </c>
      <c r="S79" s="13">
        <v>4.1000000000000002E-2</v>
      </c>
      <c r="T79" s="13">
        <v>4.1000000000000002E-2</v>
      </c>
      <c r="U79" s="13">
        <v>0.05</v>
      </c>
      <c r="V79" s="13">
        <v>0.06</v>
      </c>
      <c r="W79" s="13">
        <v>0.08</v>
      </c>
      <c r="X79" s="15">
        <v>0</v>
      </c>
      <c r="Y79" s="15">
        <v>0</v>
      </c>
      <c r="Z79" s="15">
        <v>0</v>
      </c>
      <c r="AA79" s="15">
        <v>0</v>
      </c>
      <c r="AB79" s="14">
        <v>0</v>
      </c>
      <c r="AC79" s="14">
        <v>0</v>
      </c>
      <c r="AD79" s="15">
        <v>0</v>
      </c>
    </row>
    <row r="80" spans="1:30" s="3" customFormat="1" ht="21" customHeight="1" x14ac:dyDescent="0.3">
      <c r="A80" s="8">
        <v>78</v>
      </c>
      <c r="B80" s="8" t="s">
        <v>182</v>
      </c>
      <c r="C80" s="11" t="s">
        <v>211</v>
      </c>
      <c r="D80" s="11" t="s">
        <v>212</v>
      </c>
      <c r="E80" s="11" t="s">
        <v>52</v>
      </c>
      <c r="F80" s="11">
        <v>0</v>
      </c>
      <c r="G80" s="11">
        <v>0</v>
      </c>
      <c r="H80" s="11">
        <f t="shared" si="3"/>
        <v>0</v>
      </c>
      <c r="I80" s="11">
        <v>39</v>
      </c>
      <c r="J80" s="11">
        <v>5.7999999999999996E-3</v>
      </c>
      <c r="K80" s="11">
        <f t="shared" si="4"/>
        <v>0.22619999999999998</v>
      </c>
      <c r="L80" s="11">
        <v>17</v>
      </c>
      <c r="M80" s="11">
        <v>1.2E-2</v>
      </c>
      <c r="N80" s="12">
        <f t="shared" si="5"/>
        <v>0.20400000000000001</v>
      </c>
      <c r="O80" s="13">
        <v>0.1</v>
      </c>
      <c r="P80" s="13">
        <v>5.5E-2</v>
      </c>
      <c r="Q80" s="13">
        <v>0.36</v>
      </c>
      <c r="R80" s="13">
        <v>0.08</v>
      </c>
      <c r="S80" s="13">
        <v>4.1000000000000002E-2</v>
      </c>
      <c r="T80" s="13">
        <v>4.1000000000000002E-2</v>
      </c>
      <c r="U80" s="13">
        <v>0.05</v>
      </c>
      <c r="V80" s="13">
        <v>0.06</v>
      </c>
      <c r="W80" s="13">
        <v>0.08</v>
      </c>
      <c r="X80" s="13">
        <v>0.16</v>
      </c>
      <c r="Y80" s="14">
        <v>0</v>
      </c>
      <c r="Z80" s="15">
        <v>0</v>
      </c>
      <c r="AA80" s="15">
        <v>0</v>
      </c>
      <c r="AB80" s="14">
        <v>0</v>
      </c>
      <c r="AC80" s="13">
        <v>0.16</v>
      </c>
      <c r="AD80" s="15">
        <v>0</v>
      </c>
    </row>
    <row r="81" spans="1:30" s="3" customFormat="1" ht="21" customHeight="1" x14ac:dyDescent="0.3">
      <c r="A81" s="8">
        <v>79</v>
      </c>
      <c r="B81" s="8" t="s">
        <v>182</v>
      </c>
      <c r="C81" s="11" t="s">
        <v>213</v>
      </c>
      <c r="D81" s="11" t="s">
        <v>214</v>
      </c>
      <c r="E81" s="11" t="s">
        <v>52</v>
      </c>
      <c r="F81" s="11">
        <v>0</v>
      </c>
      <c r="G81" s="11">
        <v>0</v>
      </c>
      <c r="H81" s="11">
        <f t="shared" si="3"/>
        <v>0</v>
      </c>
      <c r="I81" s="11">
        <v>39</v>
      </c>
      <c r="J81" s="11">
        <v>5.7999999999999996E-3</v>
      </c>
      <c r="K81" s="11">
        <f t="shared" si="4"/>
        <v>0.22619999999999998</v>
      </c>
      <c r="L81" s="11">
        <v>17</v>
      </c>
      <c r="M81" s="11">
        <v>1.2E-2</v>
      </c>
      <c r="N81" s="12">
        <f t="shared" si="5"/>
        <v>0.20400000000000001</v>
      </c>
      <c r="O81" s="13">
        <v>0.1</v>
      </c>
      <c r="P81" s="13">
        <v>5.5E-2</v>
      </c>
      <c r="Q81" s="13">
        <v>0.36</v>
      </c>
      <c r="R81" s="13">
        <v>0.08</v>
      </c>
      <c r="S81" s="13">
        <v>4.1000000000000002E-2</v>
      </c>
      <c r="T81" s="13">
        <v>4.1000000000000002E-2</v>
      </c>
      <c r="U81" s="13">
        <v>0.05</v>
      </c>
      <c r="V81" s="13">
        <v>0.06</v>
      </c>
      <c r="W81" s="13">
        <v>0.08</v>
      </c>
      <c r="X81" s="13">
        <v>0.16</v>
      </c>
      <c r="Y81" s="14">
        <v>0</v>
      </c>
      <c r="Z81" s="15">
        <v>0</v>
      </c>
      <c r="AA81" s="15">
        <v>0</v>
      </c>
      <c r="AB81" s="14">
        <v>0</v>
      </c>
      <c r="AC81" s="13">
        <v>0.16</v>
      </c>
      <c r="AD81" s="15">
        <v>0</v>
      </c>
    </row>
    <row r="82" spans="1:30" s="3" customFormat="1" ht="21" customHeight="1" x14ac:dyDescent="0.3">
      <c r="A82" s="8">
        <v>80</v>
      </c>
      <c r="B82" s="8" t="s">
        <v>182</v>
      </c>
      <c r="C82" s="11" t="s">
        <v>215</v>
      </c>
      <c r="D82" s="11" t="s">
        <v>216</v>
      </c>
      <c r="E82" s="11" t="s">
        <v>52</v>
      </c>
      <c r="F82" s="11">
        <v>0</v>
      </c>
      <c r="G82" s="11">
        <v>0</v>
      </c>
      <c r="H82" s="11">
        <f t="shared" si="3"/>
        <v>0</v>
      </c>
      <c r="I82" s="11">
        <v>44</v>
      </c>
      <c r="J82" s="11">
        <v>5.7999999999999996E-3</v>
      </c>
      <c r="K82" s="11">
        <f t="shared" si="4"/>
        <v>0.25519999999999998</v>
      </c>
      <c r="L82" s="11">
        <v>18</v>
      </c>
      <c r="M82" s="11">
        <v>1.2E-2</v>
      </c>
      <c r="N82" s="12">
        <f t="shared" si="5"/>
        <v>0.216</v>
      </c>
      <c r="O82" s="13">
        <v>0.1</v>
      </c>
      <c r="P82" s="13">
        <v>5.5E-2</v>
      </c>
      <c r="Q82" s="13">
        <v>0.36</v>
      </c>
      <c r="R82" s="13">
        <v>0.08</v>
      </c>
      <c r="S82" s="13">
        <v>4.1000000000000002E-2</v>
      </c>
      <c r="T82" s="13">
        <v>4.1000000000000002E-2</v>
      </c>
      <c r="U82" s="13">
        <v>0.05</v>
      </c>
      <c r="V82" s="13">
        <v>0.06</v>
      </c>
      <c r="W82" s="13">
        <v>0.08</v>
      </c>
      <c r="X82" s="13">
        <v>0.16</v>
      </c>
      <c r="Y82" s="14">
        <v>0</v>
      </c>
      <c r="Z82" s="15">
        <v>0</v>
      </c>
      <c r="AA82" s="15">
        <v>0</v>
      </c>
      <c r="AB82" s="14">
        <v>0</v>
      </c>
      <c r="AC82" s="13">
        <v>0.16</v>
      </c>
      <c r="AD82" s="15">
        <v>0</v>
      </c>
    </row>
    <row r="83" spans="1:30" s="3" customFormat="1" ht="21" customHeight="1" x14ac:dyDescent="0.3">
      <c r="A83" s="8">
        <v>81</v>
      </c>
      <c r="B83" s="8" t="s">
        <v>182</v>
      </c>
      <c r="C83" s="11" t="s">
        <v>217</v>
      </c>
      <c r="D83" s="11" t="s">
        <v>218</v>
      </c>
      <c r="E83" s="11" t="s">
        <v>52</v>
      </c>
      <c r="F83" s="11">
        <v>0</v>
      </c>
      <c r="G83" s="11">
        <v>0</v>
      </c>
      <c r="H83" s="11">
        <f t="shared" si="3"/>
        <v>0</v>
      </c>
      <c r="I83" s="11">
        <v>44</v>
      </c>
      <c r="J83" s="11">
        <v>5.7999999999999996E-3</v>
      </c>
      <c r="K83" s="11">
        <f t="shared" si="4"/>
        <v>0.25519999999999998</v>
      </c>
      <c r="L83" s="11">
        <v>18</v>
      </c>
      <c r="M83" s="11">
        <v>1.2E-2</v>
      </c>
      <c r="N83" s="12">
        <f t="shared" si="5"/>
        <v>0.216</v>
      </c>
      <c r="O83" s="13">
        <v>0.1</v>
      </c>
      <c r="P83" s="13">
        <v>5.5E-2</v>
      </c>
      <c r="Q83" s="13">
        <v>0.36</v>
      </c>
      <c r="R83" s="13">
        <v>0.08</v>
      </c>
      <c r="S83" s="13">
        <v>4.1000000000000002E-2</v>
      </c>
      <c r="T83" s="13">
        <v>4.1000000000000002E-2</v>
      </c>
      <c r="U83" s="13">
        <v>0.05</v>
      </c>
      <c r="V83" s="13">
        <v>0.06</v>
      </c>
      <c r="W83" s="13">
        <v>0.08</v>
      </c>
      <c r="X83" s="13">
        <v>0.16</v>
      </c>
      <c r="Y83" s="14">
        <v>0</v>
      </c>
      <c r="Z83" s="15">
        <v>0</v>
      </c>
      <c r="AA83" s="15">
        <v>0</v>
      </c>
      <c r="AB83" s="14">
        <v>0</v>
      </c>
      <c r="AC83" s="13">
        <v>0.16</v>
      </c>
      <c r="AD83" s="15">
        <v>0</v>
      </c>
    </row>
    <row r="84" spans="1:30" s="3" customFormat="1" ht="21" customHeight="1" x14ac:dyDescent="0.3">
      <c r="A84" s="8">
        <v>82</v>
      </c>
      <c r="B84" s="8" t="s">
        <v>182</v>
      </c>
      <c r="C84" s="11" t="s">
        <v>219</v>
      </c>
      <c r="D84" s="11" t="s">
        <v>220</v>
      </c>
      <c r="E84" s="11"/>
      <c r="F84" s="11">
        <v>0</v>
      </c>
      <c r="G84" s="11">
        <v>0</v>
      </c>
      <c r="H84" s="11">
        <f t="shared" si="3"/>
        <v>0</v>
      </c>
      <c r="I84" s="11">
        <v>47</v>
      </c>
      <c r="J84" s="11">
        <v>5.7999999999999996E-3</v>
      </c>
      <c r="K84" s="11">
        <f t="shared" si="4"/>
        <v>0.27259999999999995</v>
      </c>
      <c r="L84" s="11">
        <v>26</v>
      </c>
      <c r="M84" s="11">
        <v>1.2E-2</v>
      </c>
      <c r="N84" s="12">
        <f t="shared" si="5"/>
        <v>0.312</v>
      </c>
      <c r="O84" s="13">
        <v>0.1</v>
      </c>
      <c r="P84" s="13">
        <v>5.5E-2</v>
      </c>
      <c r="Q84" s="13">
        <v>0.39</v>
      </c>
      <c r="R84" s="13">
        <v>0.08</v>
      </c>
      <c r="S84" s="13">
        <v>4.1000000000000002E-2</v>
      </c>
      <c r="T84" s="13">
        <v>4.1000000000000002E-2</v>
      </c>
      <c r="U84" s="13">
        <v>0.05</v>
      </c>
      <c r="V84" s="13">
        <v>0.06</v>
      </c>
      <c r="W84" s="13">
        <v>0.08</v>
      </c>
      <c r="X84" s="13">
        <v>0.16</v>
      </c>
      <c r="Y84" s="14">
        <v>0</v>
      </c>
      <c r="Z84" s="15">
        <v>0</v>
      </c>
      <c r="AA84" s="15">
        <v>0</v>
      </c>
      <c r="AB84" s="14">
        <v>0</v>
      </c>
      <c r="AC84" s="13">
        <v>0.16</v>
      </c>
      <c r="AD84" s="15">
        <v>0</v>
      </c>
    </row>
    <row r="85" spans="1:30" s="3" customFormat="1" ht="21" customHeight="1" x14ac:dyDescent="0.3">
      <c r="A85" s="8">
        <v>83</v>
      </c>
      <c r="B85" s="8" t="s">
        <v>182</v>
      </c>
      <c r="C85" s="11" t="s">
        <v>221</v>
      </c>
      <c r="D85" s="11" t="s">
        <v>222</v>
      </c>
      <c r="E85" s="11" t="s">
        <v>52</v>
      </c>
      <c r="F85" s="11">
        <v>0</v>
      </c>
      <c r="G85" s="11">
        <v>0</v>
      </c>
      <c r="H85" s="11">
        <f t="shared" si="3"/>
        <v>0</v>
      </c>
      <c r="I85" s="11">
        <v>47</v>
      </c>
      <c r="J85" s="11">
        <v>5.7999999999999996E-3</v>
      </c>
      <c r="K85" s="11">
        <f t="shared" si="4"/>
        <v>0.27259999999999995</v>
      </c>
      <c r="L85" s="11">
        <v>24</v>
      </c>
      <c r="M85" s="11">
        <v>1.2E-2</v>
      </c>
      <c r="N85" s="12">
        <f t="shared" si="5"/>
        <v>0.28800000000000003</v>
      </c>
      <c r="O85" s="13">
        <v>0.1</v>
      </c>
      <c r="P85" s="13">
        <v>5.5E-2</v>
      </c>
      <c r="Q85" s="13">
        <v>0.39</v>
      </c>
      <c r="R85" s="13">
        <v>0.08</v>
      </c>
      <c r="S85" s="13">
        <v>4.1000000000000002E-2</v>
      </c>
      <c r="T85" s="13">
        <v>4.1000000000000002E-2</v>
      </c>
      <c r="U85" s="13">
        <v>0.05</v>
      </c>
      <c r="V85" s="13">
        <v>0.06</v>
      </c>
      <c r="W85" s="13">
        <v>0.08</v>
      </c>
      <c r="X85" s="13">
        <v>0.16</v>
      </c>
      <c r="Y85" s="14">
        <v>0</v>
      </c>
      <c r="Z85" s="15">
        <v>0</v>
      </c>
      <c r="AA85" s="15">
        <v>0</v>
      </c>
      <c r="AB85" s="14">
        <v>0</v>
      </c>
      <c r="AC85" s="13">
        <v>0.16</v>
      </c>
      <c r="AD85" s="15">
        <v>0</v>
      </c>
    </row>
    <row r="86" spans="1:30" s="3" customFormat="1" ht="21" customHeight="1" x14ac:dyDescent="0.3">
      <c r="A86" s="8">
        <v>84</v>
      </c>
      <c r="B86" s="8" t="s">
        <v>182</v>
      </c>
      <c r="C86" s="11" t="s">
        <v>223</v>
      </c>
      <c r="D86" s="11" t="s">
        <v>224</v>
      </c>
      <c r="E86" s="11" t="s">
        <v>52</v>
      </c>
      <c r="F86" s="11">
        <v>0</v>
      </c>
      <c r="G86" s="11">
        <v>0</v>
      </c>
      <c r="H86" s="11">
        <f t="shared" si="3"/>
        <v>0</v>
      </c>
      <c r="I86" s="11">
        <v>49</v>
      </c>
      <c r="J86" s="11">
        <v>5.7999999999999996E-3</v>
      </c>
      <c r="K86" s="11">
        <f t="shared" si="4"/>
        <v>0.28420000000000001</v>
      </c>
      <c r="L86" s="11">
        <v>31</v>
      </c>
      <c r="M86" s="11">
        <v>1.2E-2</v>
      </c>
      <c r="N86" s="12">
        <f t="shared" si="5"/>
        <v>0.372</v>
      </c>
      <c r="O86" s="13">
        <v>0.1</v>
      </c>
      <c r="P86" s="13">
        <v>5.5E-2</v>
      </c>
      <c r="Q86" s="13">
        <v>0.4</v>
      </c>
      <c r="R86" s="13">
        <v>0.08</v>
      </c>
      <c r="S86" s="13">
        <v>4.1000000000000002E-2</v>
      </c>
      <c r="T86" s="13">
        <v>4.1000000000000002E-2</v>
      </c>
      <c r="U86" s="13">
        <v>0.05</v>
      </c>
      <c r="V86" s="13">
        <v>0.06</v>
      </c>
      <c r="W86" s="13">
        <v>0.08</v>
      </c>
      <c r="X86" s="13">
        <v>0.16</v>
      </c>
      <c r="Y86" s="14">
        <v>0</v>
      </c>
      <c r="Z86" s="15">
        <v>0</v>
      </c>
      <c r="AA86" s="15">
        <v>0</v>
      </c>
      <c r="AB86" s="14">
        <v>0</v>
      </c>
      <c r="AC86" s="13">
        <v>0.16</v>
      </c>
      <c r="AD86" s="15">
        <v>0</v>
      </c>
    </row>
    <row r="87" spans="1:30" s="3" customFormat="1" ht="21" customHeight="1" x14ac:dyDescent="0.3">
      <c r="A87" s="8">
        <v>85</v>
      </c>
      <c r="B87" s="8" t="s">
        <v>182</v>
      </c>
      <c r="C87" s="11" t="s">
        <v>225</v>
      </c>
      <c r="D87" s="11" t="s">
        <v>226</v>
      </c>
      <c r="E87" s="11" t="s">
        <v>52</v>
      </c>
      <c r="F87" s="11">
        <v>0</v>
      </c>
      <c r="G87" s="11">
        <v>0</v>
      </c>
      <c r="H87" s="11">
        <f t="shared" si="3"/>
        <v>0</v>
      </c>
      <c r="I87" s="11">
        <v>49</v>
      </c>
      <c r="J87" s="11">
        <v>5.7999999999999996E-3</v>
      </c>
      <c r="K87" s="11">
        <f t="shared" si="4"/>
        <v>0.28420000000000001</v>
      </c>
      <c r="L87" s="11">
        <v>30</v>
      </c>
      <c r="M87" s="11">
        <v>1.2E-2</v>
      </c>
      <c r="N87" s="12">
        <f t="shared" si="5"/>
        <v>0.36</v>
      </c>
      <c r="O87" s="13">
        <v>0.1</v>
      </c>
      <c r="P87" s="13">
        <v>5.5E-2</v>
      </c>
      <c r="Q87" s="13">
        <v>0.4</v>
      </c>
      <c r="R87" s="13">
        <v>0.08</v>
      </c>
      <c r="S87" s="13">
        <v>4.1000000000000002E-2</v>
      </c>
      <c r="T87" s="13">
        <v>4.1000000000000002E-2</v>
      </c>
      <c r="U87" s="13">
        <v>0.05</v>
      </c>
      <c r="V87" s="13">
        <v>0.06</v>
      </c>
      <c r="W87" s="13">
        <v>0.08</v>
      </c>
      <c r="X87" s="13">
        <v>0.16</v>
      </c>
      <c r="Y87" s="14">
        <v>0</v>
      </c>
      <c r="Z87" s="15">
        <v>0</v>
      </c>
      <c r="AA87" s="15">
        <v>0</v>
      </c>
      <c r="AB87" s="14">
        <v>0</v>
      </c>
      <c r="AC87" s="13">
        <v>0.16</v>
      </c>
      <c r="AD87" s="15">
        <v>0</v>
      </c>
    </row>
    <row r="88" spans="1:30" s="3" customFormat="1" ht="21" customHeight="1" x14ac:dyDescent="0.3">
      <c r="A88" s="8">
        <v>86</v>
      </c>
      <c r="B88" s="8" t="s">
        <v>182</v>
      </c>
      <c r="C88" s="11" t="s">
        <v>227</v>
      </c>
      <c r="D88" s="11" t="s">
        <v>228</v>
      </c>
      <c r="E88" s="11"/>
      <c r="F88" s="11">
        <v>0</v>
      </c>
      <c r="G88" s="11">
        <v>0</v>
      </c>
      <c r="H88" s="11">
        <f t="shared" si="3"/>
        <v>0</v>
      </c>
      <c r="I88" s="11">
        <v>39</v>
      </c>
      <c r="J88" s="11">
        <v>5.7999999999999996E-3</v>
      </c>
      <c r="K88" s="11">
        <f t="shared" si="4"/>
        <v>0.22619999999999998</v>
      </c>
      <c r="L88" s="11">
        <v>17</v>
      </c>
      <c r="M88" s="11">
        <v>1.2E-2</v>
      </c>
      <c r="N88" s="12">
        <f t="shared" si="5"/>
        <v>0.20400000000000001</v>
      </c>
      <c r="O88" s="13">
        <v>0.1</v>
      </c>
      <c r="P88" s="13">
        <v>5.5E-2</v>
      </c>
      <c r="Q88" s="13">
        <v>0.36</v>
      </c>
      <c r="R88" s="13">
        <v>0.08</v>
      </c>
      <c r="S88" s="13">
        <v>4.1000000000000002E-2</v>
      </c>
      <c r="T88" s="13">
        <v>4.1000000000000002E-2</v>
      </c>
      <c r="U88" s="13">
        <v>0.05</v>
      </c>
      <c r="V88" s="13">
        <v>0.06</v>
      </c>
      <c r="W88" s="13">
        <v>0.08</v>
      </c>
      <c r="X88" s="13">
        <v>0.16</v>
      </c>
      <c r="Y88" s="14">
        <v>0</v>
      </c>
      <c r="Z88" s="15">
        <v>0</v>
      </c>
      <c r="AA88" s="15">
        <v>0</v>
      </c>
      <c r="AB88" s="14">
        <v>0</v>
      </c>
      <c r="AC88" s="13">
        <v>0.16</v>
      </c>
      <c r="AD88" s="15">
        <v>0</v>
      </c>
    </row>
    <row r="89" spans="1:30" s="3" customFormat="1" ht="21" customHeight="1" x14ac:dyDescent="0.3">
      <c r="A89" s="8">
        <v>87</v>
      </c>
      <c r="B89" s="8" t="s">
        <v>182</v>
      </c>
      <c r="C89" s="11" t="s">
        <v>229</v>
      </c>
      <c r="D89" s="11" t="s">
        <v>230</v>
      </c>
      <c r="E89" s="11"/>
      <c r="F89" s="11">
        <v>0</v>
      </c>
      <c r="G89" s="11">
        <v>0</v>
      </c>
      <c r="H89" s="11">
        <f t="shared" si="3"/>
        <v>0</v>
      </c>
      <c r="I89" s="11">
        <v>41</v>
      </c>
      <c r="J89" s="11">
        <v>5.7999999999999996E-3</v>
      </c>
      <c r="K89" s="11">
        <f t="shared" si="4"/>
        <v>0.23779999999999998</v>
      </c>
      <c r="L89" s="11">
        <v>19</v>
      </c>
      <c r="M89" s="11">
        <v>1.2E-2</v>
      </c>
      <c r="N89" s="12">
        <f t="shared" si="5"/>
        <v>0.22800000000000001</v>
      </c>
      <c r="O89" s="13">
        <v>0.1</v>
      </c>
      <c r="P89" s="13">
        <v>5.5E-2</v>
      </c>
      <c r="Q89" s="13">
        <v>0.36</v>
      </c>
      <c r="R89" s="13">
        <v>0.08</v>
      </c>
      <c r="S89" s="13">
        <v>4.1000000000000002E-2</v>
      </c>
      <c r="T89" s="13">
        <v>4.1000000000000002E-2</v>
      </c>
      <c r="U89" s="13">
        <v>0.05</v>
      </c>
      <c r="V89" s="13">
        <v>0.06</v>
      </c>
      <c r="W89" s="13">
        <v>0.08</v>
      </c>
      <c r="X89" s="13">
        <v>0.16</v>
      </c>
      <c r="Y89" s="14">
        <v>0</v>
      </c>
      <c r="Z89" s="15">
        <v>0</v>
      </c>
      <c r="AA89" s="15">
        <v>0</v>
      </c>
      <c r="AB89" s="14">
        <v>0</v>
      </c>
      <c r="AC89" s="13">
        <v>0.16</v>
      </c>
      <c r="AD89" s="15">
        <v>0</v>
      </c>
    </row>
    <row r="90" spans="1:30" s="3" customFormat="1" ht="21" customHeight="1" x14ac:dyDescent="0.3">
      <c r="A90" s="8">
        <v>88</v>
      </c>
      <c r="B90" s="8" t="s">
        <v>182</v>
      </c>
      <c r="C90" s="11" t="s">
        <v>231</v>
      </c>
      <c r="D90" s="11" t="s">
        <v>232</v>
      </c>
      <c r="E90" s="11"/>
      <c r="F90" s="11">
        <v>0</v>
      </c>
      <c r="G90" s="11">
        <v>0</v>
      </c>
      <c r="H90" s="11">
        <f t="shared" si="3"/>
        <v>0</v>
      </c>
      <c r="I90" s="11">
        <v>39</v>
      </c>
      <c r="J90" s="11">
        <v>5.7999999999999996E-3</v>
      </c>
      <c r="K90" s="11">
        <f t="shared" si="4"/>
        <v>0.22619999999999998</v>
      </c>
      <c r="L90" s="11">
        <v>17</v>
      </c>
      <c r="M90" s="11">
        <v>1.2E-2</v>
      </c>
      <c r="N90" s="12">
        <f t="shared" si="5"/>
        <v>0.20400000000000001</v>
      </c>
      <c r="O90" s="13">
        <v>0.1</v>
      </c>
      <c r="P90" s="13">
        <v>5.5E-2</v>
      </c>
      <c r="Q90" s="13">
        <v>0.36</v>
      </c>
      <c r="R90" s="13">
        <v>0.08</v>
      </c>
      <c r="S90" s="13">
        <v>4.1000000000000002E-2</v>
      </c>
      <c r="T90" s="13">
        <v>4.1000000000000002E-2</v>
      </c>
      <c r="U90" s="13">
        <v>0.05</v>
      </c>
      <c r="V90" s="13">
        <v>0.06</v>
      </c>
      <c r="W90" s="13">
        <v>0.08</v>
      </c>
      <c r="X90" s="13">
        <v>0.16</v>
      </c>
      <c r="Y90" s="14">
        <v>0</v>
      </c>
      <c r="Z90" s="15">
        <v>0</v>
      </c>
      <c r="AA90" s="15">
        <v>0</v>
      </c>
      <c r="AB90" s="14">
        <v>0</v>
      </c>
      <c r="AC90" s="13">
        <v>0.16</v>
      </c>
      <c r="AD90" s="15">
        <v>0</v>
      </c>
    </row>
    <row r="91" spans="1:30" s="3" customFormat="1" ht="21" customHeight="1" x14ac:dyDescent="0.3">
      <c r="A91" s="8">
        <v>89</v>
      </c>
      <c r="B91" s="8" t="s">
        <v>182</v>
      </c>
      <c r="C91" s="11" t="s">
        <v>233</v>
      </c>
      <c r="D91" s="11" t="s">
        <v>234</v>
      </c>
      <c r="E91" s="11"/>
      <c r="F91" s="11">
        <v>0</v>
      </c>
      <c r="G91" s="11">
        <v>0</v>
      </c>
      <c r="H91" s="11">
        <f t="shared" si="3"/>
        <v>0</v>
      </c>
      <c r="I91" s="11">
        <v>44</v>
      </c>
      <c r="J91" s="11">
        <v>5.7999999999999996E-3</v>
      </c>
      <c r="K91" s="11">
        <f t="shared" si="4"/>
        <v>0.25519999999999998</v>
      </c>
      <c r="L91" s="11">
        <v>19</v>
      </c>
      <c r="M91" s="11">
        <v>1.2E-2</v>
      </c>
      <c r="N91" s="12">
        <f t="shared" si="5"/>
        <v>0.22800000000000001</v>
      </c>
      <c r="O91" s="13">
        <v>0.1</v>
      </c>
      <c r="P91" s="13">
        <v>5.5E-2</v>
      </c>
      <c r="Q91" s="13">
        <v>0.36</v>
      </c>
      <c r="R91" s="13">
        <v>0.08</v>
      </c>
      <c r="S91" s="13">
        <v>4.1000000000000002E-2</v>
      </c>
      <c r="T91" s="13">
        <v>4.1000000000000002E-2</v>
      </c>
      <c r="U91" s="13">
        <v>0.05</v>
      </c>
      <c r="V91" s="13">
        <v>0.06</v>
      </c>
      <c r="W91" s="13">
        <v>0.08</v>
      </c>
      <c r="X91" s="13">
        <v>0.16</v>
      </c>
      <c r="Y91" s="14">
        <v>0</v>
      </c>
      <c r="Z91" s="15">
        <v>0</v>
      </c>
      <c r="AA91" s="15">
        <v>0</v>
      </c>
      <c r="AB91" s="14">
        <v>0</v>
      </c>
      <c r="AC91" s="13">
        <v>0.16</v>
      </c>
      <c r="AD91" s="15">
        <v>0</v>
      </c>
    </row>
    <row r="92" spans="1:30" s="3" customFormat="1" ht="21" customHeight="1" x14ac:dyDescent="0.3">
      <c r="A92" s="8">
        <v>90</v>
      </c>
      <c r="B92" s="8" t="s">
        <v>182</v>
      </c>
      <c r="C92" s="11" t="s">
        <v>235</v>
      </c>
      <c r="D92" s="11" t="s">
        <v>236</v>
      </c>
      <c r="E92" s="11"/>
      <c r="F92" s="11">
        <v>0</v>
      </c>
      <c r="G92" s="11">
        <v>0</v>
      </c>
      <c r="H92" s="11">
        <f t="shared" si="3"/>
        <v>0</v>
      </c>
      <c r="I92" s="11">
        <v>44</v>
      </c>
      <c r="J92" s="11">
        <v>5.7999999999999996E-3</v>
      </c>
      <c r="K92" s="11">
        <f t="shared" si="4"/>
        <v>0.25519999999999998</v>
      </c>
      <c r="L92" s="11">
        <v>20</v>
      </c>
      <c r="M92" s="11">
        <v>1.2E-2</v>
      </c>
      <c r="N92" s="12">
        <f t="shared" si="5"/>
        <v>0.24</v>
      </c>
      <c r="O92" s="13">
        <v>0.1</v>
      </c>
      <c r="P92" s="13">
        <v>5.5E-2</v>
      </c>
      <c r="Q92" s="13">
        <v>0.36</v>
      </c>
      <c r="R92" s="13">
        <v>0.08</v>
      </c>
      <c r="S92" s="13">
        <v>4.1000000000000002E-2</v>
      </c>
      <c r="T92" s="13">
        <v>4.1000000000000002E-2</v>
      </c>
      <c r="U92" s="13">
        <v>0.05</v>
      </c>
      <c r="V92" s="13">
        <v>0.06</v>
      </c>
      <c r="W92" s="13">
        <v>0.08</v>
      </c>
      <c r="X92" s="13">
        <v>0.16</v>
      </c>
      <c r="Y92" s="14">
        <v>0</v>
      </c>
      <c r="Z92" s="15">
        <v>0</v>
      </c>
      <c r="AA92" s="15">
        <v>0</v>
      </c>
      <c r="AB92" s="14">
        <v>0</v>
      </c>
      <c r="AC92" s="13">
        <v>0.16</v>
      </c>
      <c r="AD92" s="15">
        <v>0</v>
      </c>
    </row>
    <row r="93" spans="1:30" s="3" customFormat="1" ht="21" customHeight="1" x14ac:dyDescent="0.3">
      <c r="A93" s="8">
        <v>91</v>
      </c>
      <c r="B93" s="8" t="s">
        <v>182</v>
      </c>
      <c r="C93" s="11" t="s">
        <v>237</v>
      </c>
      <c r="D93" s="11" t="s">
        <v>238</v>
      </c>
      <c r="E93" s="11"/>
      <c r="F93" s="11">
        <v>0</v>
      </c>
      <c r="G93" s="11">
        <v>0</v>
      </c>
      <c r="H93" s="11">
        <f t="shared" si="3"/>
        <v>0</v>
      </c>
      <c r="I93" s="11">
        <v>44</v>
      </c>
      <c r="J93" s="11">
        <v>5.7999999999999996E-3</v>
      </c>
      <c r="K93" s="11">
        <f t="shared" si="4"/>
        <v>0.25519999999999998</v>
      </c>
      <c r="L93" s="11">
        <v>18</v>
      </c>
      <c r="M93" s="11">
        <v>1.2E-2</v>
      </c>
      <c r="N93" s="12">
        <f t="shared" si="5"/>
        <v>0.216</v>
      </c>
      <c r="O93" s="13">
        <v>0.1</v>
      </c>
      <c r="P93" s="13">
        <v>5.5E-2</v>
      </c>
      <c r="Q93" s="13">
        <v>0.36</v>
      </c>
      <c r="R93" s="13">
        <v>0.08</v>
      </c>
      <c r="S93" s="13">
        <v>4.1000000000000002E-2</v>
      </c>
      <c r="T93" s="13">
        <v>4.1000000000000002E-2</v>
      </c>
      <c r="U93" s="13">
        <v>0.05</v>
      </c>
      <c r="V93" s="13">
        <v>0.06</v>
      </c>
      <c r="W93" s="13">
        <v>0.08</v>
      </c>
      <c r="X93" s="13">
        <v>0.16</v>
      </c>
      <c r="Y93" s="14">
        <v>0</v>
      </c>
      <c r="Z93" s="15">
        <v>0</v>
      </c>
      <c r="AA93" s="15">
        <v>0</v>
      </c>
      <c r="AB93" s="14">
        <v>0</v>
      </c>
      <c r="AC93" s="13">
        <v>0.16</v>
      </c>
      <c r="AD93" s="15">
        <v>0</v>
      </c>
    </row>
    <row r="94" spans="1:30" s="3" customFormat="1" ht="21" customHeight="1" x14ac:dyDescent="0.3">
      <c r="A94" s="8">
        <v>92</v>
      </c>
      <c r="B94" s="8" t="s">
        <v>182</v>
      </c>
      <c r="C94" s="11" t="s">
        <v>239</v>
      </c>
      <c r="D94" s="11" t="s">
        <v>240</v>
      </c>
      <c r="E94" s="11"/>
      <c r="F94" s="11">
        <v>0</v>
      </c>
      <c r="G94" s="11">
        <v>0</v>
      </c>
      <c r="H94" s="11">
        <f t="shared" si="3"/>
        <v>0</v>
      </c>
      <c r="I94" s="11">
        <v>47</v>
      </c>
      <c r="J94" s="11">
        <v>5.7999999999999996E-3</v>
      </c>
      <c r="K94" s="11">
        <f t="shared" si="4"/>
        <v>0.27259999999999995</v>
      </c>
      <c r="L94" s="11">
        <v>26</v>
      </c>
      <c r="M94" s="11">
        <v>1.2E-2</v>
      </c>
      <c r="N94" s="12">
        <f t="shared" si="5"/>
        <v>0.312</v>
      </c>
      <c r="O94" s="13">
        <v>0.1</v>
      </c>
      <c r="P94" s="13">
        <v>5.5E-2</v>
      </c>
      <c r="Q94" s="13">
        <v>0.39</v>
      </c>
      <c r="R94" s="13">
        <v>0.08</v>
      </c>
      <c r="S94" s="13">
        <v>4.1000000000000002E-2</v>
      </c>
      <c r="T94" s="13">
        <v>4.1000000000000002E-2</v>
      </c>
      <c r="U94" s="13">
        <v>0.05</v>
      </c>
      <c r="V94" s="13">
        <v>0.06</v>
      </c>
      <c r="W94" s="13">
        <v>0.08</v>
      </c>
      <c r="X94" s="13">
        <v>0.16</v>
      </c>
      <c r="Y94" s="14">
        <v>0</v>
      </c>
      <c r="Z94" s="15">
        <v>0</v>
      </c>
      <c r="AA94" s="15">
        <v>0</v>
      </c>
      <c r="AB94" s="14">
        <v>0</v>
      </c>
      <c r="AC94" s="13">
        <v>0.16</v>
      </c>
      <c r="AD94" s="15">
        <v>0</v>
      </c>
    </row>
    <row r="95" spans="1:30" s="3" customFormat="1" ht="21" customHeight="1" x14ac:dyDescent="0.3">
      <c r="A95" s="8">
        <v>93</v>
      </c>
      <c r="B95" s="8" t="s">
        <v>182</v>
      </c>
      <c r="C95" s="11" t="s">
        <v>241</v>
      </c>
      <c r="D95" s="11" t="s">
        <v>242</v>
      </c>
      <c r="E95" s="11"/>
      <c r="F95" s="11">
        <v>0</v>
      </c>
      <c r="G95" s="11">
        <v>0</v>
      </c>
      <c r="H95" s="11">
        <f t="shared" si="3"/>
        <v>0</v>
      </c>
      <c r="I95" s="11">
        <v>47</v>
      </c>
      <c r="J95" s="11">
        <v>5.7999999999999996E-3</v>
      </c>
      <c r="K95" s="11">
        <f t="shared" si="4"/>
        <v>0.27259999999999995</v>
      </c>
      <c r="L95" s="11">
        <v>26</v>
      </c>
      <c r="M95" s="11">
        <v>1.2E-2</v>
      </c>
      <c r="N95" s="12">
        <f t="shared" si="5"/>
        <v>0.312</v>
      </c>
      <c r="O95" s="13">
        <v>0.1</v>
      </c>
      <c r="P95" s="13">
        <v>5.5E-2</v>
      </c>
      <c r="Q95" s="13">
        <v>0.39</v>
      </c>
      <c r="R95" s="13">
        <v>0.08</v>
      </c>
      <c r="S95" s="13">
        <v>4.1000000000000002E-2</v>
      </c>
      <c r="T95" s="13">
        <v>4.1000000000000002E-2</v>
      </c>
      <c r="U95" s="13">
        <v>0.05</v>
      </c>
      <c r="V95" s="13">
        <v>0.06</v>
      </c>
      <c r="W95" s="13">
        <v>0.08</v>
      </c>
      <c r="X95" s="13">
        <v>0.16</v>
      </c>
      <c r="Y95" s="14">
        <v>0</v>
      </c>
      <c r="Z95" s="15">
        <v>0</v>
      </c>
      <c r="AA95" s="15">
        <v>0</v>
      </c>
      <c r="AB95" s="14">
        <v>0</v>
      </c>
      <c r="AC95" s="13">
        <v>0.16</v>
      </c>
      <c r="AD95" s="15">
        <v>0</v>
      </c>
    </row>
    <row r="96" spans="1:30" s="3" customFormat="1" ht="21" customHeight="1" x14ac:dyDescent="0.3">
      <c r="A96" s="8">
        <v>94</v>
      </c>
      <c r="B96" s="8" t="s">
        <v>182</v>
      </c>
      <c r="C96" s="4" t="s">
        <v>243</v>
      </c>
      <c r="D96" s="4" t="s">
        <v>244</v>
      </c>
      <c r="E96" s="11"/>
      <c r="F96" s="11">
        <v>0</v>
      </c>
      <c r="G96" s="11">
        <v>0</v>
      </c>
      <c r="H96" s="11">
        <f t="shared" si="3"/>
        <v>0</v>
      </c>
      <c r="I96" s="11">
        <v>49</v>
      </c>
      <c r="J96" s="11">
        <v>5.7999999999999996E-3</v>
      </c>
      <c r="K96" s="11">
        <f t="shared" si="4"/>
        <v>0.28420000000000001</v>
      </c>
      <c r="L96" s="11">
        <v>31</v>
      </c>
      <c r="M96" s="11">
        <v>1.2E-2</v>
      </c>
      <c r="N96" s="12">
        <f t="shared" si="5"/>
        <v>0.372</v>
      </c>
      <c r="O96" s="13">
        <v>0.1</v>
      </c>
      <c r="P96" s="13">
        <v>5.5E-2</v>
      </c>
      <c r="Q96" s="13">
        <v>0.4</v>
      </c>
      <c r="R96" s="13">
        <v>0.08</v>
      </c>
      <c r="S96" s="13">
        <v>4.1000000000000002E-2</v>
      </c>
      <c r="T96" s="13">
        <v>4.1000000000000002E-2</v>
      </c>
      <c r="U96" s="13">
        <v>0.05</v>
      </c>
      <c r="V96" s="13">
        <v>0.06</v>
      </c>
      <c r="W96" s="13">
        <v>0.08</v>
      </c>
      <c r="X96" s="13">
        <v>0.16</v>
      </c>
      <c r="Y96" s="14">
        <v>0</v>
      </c>
      <c r="Z96" s="15">
        <v>0</v>
      </c>
      <c r="AA96" s="15">
        <v>0</v>
      </c>
      <c r="AB96" s="14">
        <v>0</v>
      </c>
      <c r="AC96" s="13">
        <v>0.16</v>
      </c>
      <c r="AD96" s="15">
        <v>0</v>
      </c>
    </row>
    <row r="97" spans="1:31" s="3" customFormat="1" ht="21" customHeight="1" x14ac:dyDescent="0.3">
      <c r="A97" s="8">
        <v>95</v>
      </c>
      <c r="B97" s="8" t="s">
        <v>182</v>
      </c>
      <c r="C97" s="4" t="s">
        <v>245</v>
      </c>
      <c r="D97" s="4" t="s">
        <v>246</v>
      </c>
      <c r="E97" s="11"/>
      <c r="F97" s="11">
        <v>0</v>
      </c>
      <c r="G97" s="11">
        <v>0</v>
      </c>
      <c r="H97" s="11">
        <f t="shared" si="3"/>
        <v>0</v>
      </c>
      <c r="I97" s="11">
        <v>49</v>
      </c>
      <c r="J97" s="11">
        <v>5.7999999999999996E-3</v>
      </c>
      <c r="K97" s="11">
        <f t="shared" si="4"/>
        <v>0.28420000000000001</v>
      </c>
      <c r="L97" s="11">
        <v>31</v>
      </c>
      <c r="M97" s="11">
        <v>1.2E-2</v>
      </c>
      <c r="N97" s="12">
        <f t="shared" si="5"/>
        <v>0.372</v>
      </c>
      <c r="O97" s="13">
        <v>0.1</v>
      </c>
      <c r="P97" s="13">
        <v>5.5E-2</v>
      </c>
      <c r="Q97" s="13">
        <v>0.4</v>
      </c>
      <c r="R97" s="13">
        <v>0.08</v>
      </c>
      <c r="S97" s="13">
        <v>4.1000000000000002E-2</v>
      </c>
      <c r="T97" s="13">
        <v>4.1000000000000002E-2</v>
      </c>
      <c r="U97" s="13">
        <v>0.05</v>
      </c>
      <c r="V97" s="13">
        <v>0.06</v>
      </c>
      <c r="W97" s="13">
        <v>0.08</v>
      </c>
      <c r="X97" s="13">
        <v>0.16</v>
      </c>
      <c r="Y97" s="14">
        <v>0</v>
      </c>
      <c r="Z97" s="15">
        <v>0</v>
      </c>
      <c r="AA97" s="15">
        <v>0</v>
      </c>
      <c r="AB97" s="14">
        <v>0</v>
      </c>
      <c r="AC97" s="13">
        <v>0.16</v>
      </c>
      <c r="AD97" s="15">
        <v>0</v>
      </c>
    </row>
    <row r="98" spans="1:31" s="2" customFormat="1" ht="21" customHeight="1" x14ac:dyDescent="0.3">
      <c r="A98" s="8">
        <v>97</v>
      </c>
      <c r="B98" s="8" t="s">
        <v>247</v>
      </c>
      <c r="C98" s="11" t="s">
        <v>248</v>
      </c>
      <c r="D98" s="11" t="s">
        <v>249</v>
      </c>
      <c r="E98" s="11" t="s">
        <v>52</v>
      </c>
      <c r="F98" s="19">
        <v>0</v>
      </c>
      <c r="G98" s="11">
        <v>0</v>
      </c>
      <c r="H98" s="11">
        <f t="shared" ref="H98:H129" si="6">+F98*G98</f>
        <v>0</v>
      </c>
      <c r="I98" s="19">
        <v>47</v>
      </c>
      <c r="J98" s="11">
        <v>5.7999999999999996E-3</v>
      </c>
      <c r="K98" s="11">
        <f t="shared" ref="K98:K129" si="7">+I98*J98</f>
        <v>0.27259999999999995</v>
      </c>
      <c r="L98" s="8">
        <v>29</v>
      </c>
      <c r="M98" s="11">
        <v>1.2E-2</v>
      </c>
      <c r="N98" s="12">
        <f t="shared" ref="N98:N129" si="8">+L98*M98</f>
        <v>0.34800000000000003</v>
      </c>
      <c r="O98" s="13">
        <v>0.108</v>
      </c>
      <c r="P98" s="13">
        <v>5.5E-2</v>
      </c>
      <c r="Q98" s="11">
        <v>0.45</v>
      </c>
      <c r="R98" s="13">
        <v>7.1999999999999995E-2</v>
      </c>
      <c r="S98" s="13">
        <v>4.1000000000000002E-2</v>
      </c>
      <c r="T98" s="13">
        <v>4.1000000000000002E-2</v>
      </c>
      <c r="U98" s="14">
        <v>0</v>
      </c>
      <c r="V98" s="14">
        <v>0</v>
      </c>
      <c r="W98" s="13">
        <v>0.11</v>
      </c>
      <c r="X98" s="11">
        <v>0.18</v>
      </c>
      <c r="Y98" s="11">
        <v>0.09</v>
      </c>
      <c r="Z98" s="11">
        <v>0.15</v>
      </c>
      <c r="AA98" s="15">
        <v>0</v>
      </c>
      <c r="AB98" s="14">
        <v>0</v>
      </c>
      <c r="AC98" s="14">
        <v>0</v>
      </c>
      <c r="AD98" s="15">
        <v>0</v>
      </c>
    </row>
    <row r="99" spans="1:31" s="2" customFormat="1" ht="21" customHeight="1" x14ac:dyDescent="0.3">
      <c r="A99" s="8">
        <v>98</v>
      </c>
      <c r="B99" s="8" t="s">
        <v>250</v>
      </c>
      <c r="C99" s="11" t="s">
        <v>251</v>
      </c>
      <c r="D99" s="11" t="s">
        <v>252</v>
      </c>
      <c r="E99" s="11" t="s">
        <v>52</v>
      </c>
      <c r="F99" s="11">
        <v>15</v>
      </c>
      <c r="G99" s="11">
        <v>6.0000000000000001E-3</v>
      </c>
      <c r="H99" s="11">
        <f t="shared" si="6"/>
        <v>0.09</v>
      </c>
      <c r="I99" s="11">
        <v>33</v>
      </c>
      <c r="J99" s="11">
        <v>5.7999999999999996E-3</v>
      </c>
      <c r="K99" s="11">
        <f t="shared" si="7"/>
        <v>0.19139999999999999</v>
      </c>
      <c r="L99" s="8">
        <v>30</v>
      </c>
      <c r="M99" s="11">
        <v>1.2E-2</v>
      </c>
      <c r="N99" s="12">
        <f t="shared" si="8"/>
        <v>0.36</v>
      </c>
      <c r="O99" s="13">
        <v>0.108</v>
      </c>
      <c r="P99" s="13">
        <v>5.5E-2</v>
      </c>
      <c r="Q99" s="13">
        <v>0.45</v>
      </c>
      <c r="R99" s="13">
        <v>7.1999999999999995E-2</v>
      </c>
      <c r="S99" s="13">
        <v>4.1000000000000002E-2</v>
      </c>
      <c r="T99" s="13">
        <v>4.1000000000000002E-2</v>
      </c>
      <c r="U99" s="14">
        <v>0</v>
      </c>
      <c r="V99" s="14">
        <v>0</v>
      </c>
      <c r="W99" s="13">
        <v>0.11</v>
      </c>
      <c r="X99" s="13">
        <v>0.15</v>
      </c>
      <c r="Y99" s="13">
        <v>0.08</v>
      </c>
      <c r="Z99" s="13">
        <v>0.15</v>
      </c>
      <c r="AA99" s="15">
        <v>0</v>
      </c>
      <c r="AB99" s="14">
        <v>0</v>
      </c>
      <c r="AC99" s="14">
        <v>0</v>
      </c>
      <c r="AD99" s="15">
        <v>0</v>
      </c>
      <c r="AE99" s="2" t="s">
        <v>253</v>
      </c>
    </row>
    <row r="100" spans="1:31" s="2" customFormat="1" ht="21" customHeight="1" x14ac:dyDescent="0.3">
      <c r="A100" s="8">
        <v>99</v>
      </c>
      <c r="B100" s="8" t="s">
        <v>250</v>
      </c>
      <c r="C100" s="11" t="s">
        <v>254</v>
      </c>
      <c r="D100" s="11" t="s">
        <v>255</v>
      </c>
      <c r="E100" s="11" t="s">
        <v>98</v>
      </c>
      <c r="F100" s="11">
        <v>15</v>
      </c>
      <c r="G100" s="11">
        <v>6.0000000000000001E-3</v>
      </c>
      <c r="H100" s="11">
        <f t="shared" si="6"/>
        <v>0.09</v>
      </c>
      <c r="I100" s="11">
        <v>33</v>
      </c>
      <c r="J100" s="11">
        <v>5.7999999999999996E-3</v>
      </c>
      <c r="K100" s="11">
        <f t="shared" si="7"/>
        <v>0.19139999999999999</v>
      </c>
      <c r="L100" s="8">
        <v>30</v>
      </c>
      <c r="M100" s="11">
        <v>1.2E-2</v>
      </c>
      <c r="N100" s="12">
        <f t="shared" si="8"/>
        <v>0.36</v>
      </c>
      <c r="O100" s="13">
        <v>0.108</v>
      </c>
      <c r="P100" s="13">
        <v>5.5E-2</v>
      </c>
      <c r="Q100" s="13">
        <v>0.45</v>
      </c>
      <c r="R100" s="13">
        <v>7.1999999999999995E-2</v>
      </c>
      <c r="S100" s="13">
        <v>4.1000000000000002E-2</v>
      </c>
      <c r="T100" s="13">
        <v>4.1000000000000002E-2</v>
      </c>
      <c r="U100" s="14">
        <v>0</v>
      </c>
      <c r="V100" s="14">
        <v>0</v>
      </c>
      <c r="W100" s="13">
        <v>0.11</v>
      </c>
      <c r="X100" s="13">
        <v>0.15</v>
      </c>
      <c r="Y100" s="13">
        <v>0.08</v>
      </c>
      <c r="Z100" s="13">
        <v>0.15</v>
      </c>
      <c r="AA100" s="15">
        <v>0</v>
      </c>
      <c r="AB100" s="14">
        <v>0</v>
      </c>
      <c r="AC100" s="14">
        <v>0</v>
      </c>
      <c r="AD100" s="15">
        <v>0</v>
      </c>
      <c r="AE100" s="2" t="s">
        <v>253</v>
      </c>
    </row>
    <row r="101" spans="1:31" s="2" customFormat="1" ht="21" customHeight="1" x14ac:dyDescent="0.3">
      <c r="A101" s="8">
        <v>100</v>
      </c>
      <c r="B101" s="8" t="s">
        <v>250</v>
      </c>
      <c r="C101" s="11" t="s">
        <v>256</v>
      </c>
      <c r="D101" s="11" t="s">
        <v>257</v>
      </c>
      <c r="E101" s="11" t="s">
        <v>98</v>
      </c>
      <c r="F101" s="11">
        <v>15</v>
      </c>
      <c r="G101" s="11">
        <v>6.0000000000000001E-3</v>
      </c>
      <c r="H101" s="11">
        <f t="shared" si="6"/>
        <v>0.09</v>
      </c>
      <c r="I101" s="11">
        <v>33</v>
      </c>
      <c r="J101" s="11">
        <v>5.7999999999999996E-3</v>
      </c>
      <c r="K101" s="11">
        <f t="shared" si="7"/>
        <v>0.19139999999999999</v>
      </c>
      <c r="L101" s="8">
        <v>30</v>
      </c>
      <c r="M101" s="11">
        <v>1.2E-2</v>
      </c>
      <c r="N101" s="12">
        <f t="shared" si="8"/>
        <v>0.36</v>
      </c>
      <c r="O101" s="13">
        <v>0.108</v>
      </c>
      <c r="P101" s="13">
        <v>5.5E-2</v>
      </c>
      <c r="Q101" s="13">
        <v>0.45</v>
      </c>
      <c r="R101" s="13">
        <v>7.1999999999999995E-2</v>
      </c>
      <c r="S101" s="13">
        <v>4.1000000000000002E-2</v>
      </c>
      <c r="T101" s="13">
        <v>4.1000000000000002E-2</v>
      </c>
      <c r="U101" s="14">
        <v>0</v>
      </c>
      <c r="V101" s="14">
        <v>0</v>
      </c>
      <c r="W101" s="13">
        <v>0.11</v>
      </c>
      <c r="X101" s="13">
        <v>0.15</v>
      </c>
      <c r="Y101" s="13">
        <v>0.08</v>
      </c>
      <c r="Z101" s="13">
        <v>0.15</v>
      </c>
      <c r="AA101" s="15">
        <v>0</v>
      </c>
      <c r="AB101" s="14">
        <v>0</v>
      </c>
      <c r="AC101" s="14">
        <v>0</v>
      </c>
      <c r="AD101" s="15">
        <v>0</v>
      </c>
      <c r="AE101" s="2" t="s">
        <v>253</v>
      </c>
    </row>
    <row r="102" spans="1:31" s="2" customFormat="1" ht="21" customHeight="1" x14ac:dyDescent="0.3">
      <c r="A102" s="8">
        <v>101</v>
      </c>
      <c r="B102" s="8" t="s">
        <v>250</v>
      </c>
      <c r="C102" s="11" t="s">
        <v>258</v>
      </c>
      <c r="D102" s="11" t="s">
        <v>259</v>
      </c>
      <c r="E102" s="11" t="s">
        <v>259</v>
      </c>
      <c r="F102" s="11">
        <v>15</v>
      </c>
      <c r="G102" s="11">
        <v>6.0000000000000001E-3</v>
      </c>
      <c r="H102" s="11">
        <f t="shared" si="6"/>
        <v>0.09</v>
      </c>
      <c r="I102" s="11">
        <v>35</v>
      </c>
      <c r="J102" s="11">
        <v>5.7999999999999996E-3</v>
      </c>
      <c r="K102" s="11">
        <f t="shared" si="7"/>
        <v>0.20299999999999999</v>
      </c>
      <c r="L102" s="8">
        <v>32</v>
      </c>
      <c r="M102" s="11">
        <v>1.2E-2</v>
      </c>
      <c r="N102" s="12">
        <f t="shared" si="8"/>
        <v>0.38400000000000001</v>
      </c>
      <c r="O102" s="13">
        <v>0.108</v>
      </c>
      <c r="P102" s="13">
        <v>5.5E-2</v>
      </c>
      <c r="Q102" s="13">
        <v>0.45</v>
      </c>
      <c r="R102" s="13">
        <v>7.1999999999999995E-2</v>
      </c>
      <c r="S102" s="13">
        <v>4.1000000000000002E-2</v>
      </c>
      <c r="T102" s="13">
        <v>4.1000000000000002E-2</v>
      </c>
      <c r="U102" s="14">
        <v>0</v>
      </c>
      <c r="V102" s="14">
        <v>0</v>
      </c>
      <c r="W102" s="13">
        <v>0.11</v>
      </c>
      <c r="X102" s="13">
        <v>0.15</v>
      </c>
      <c r="Y102" s="13">
        <v>0.08</v>
      </c>
      <c r="Z102" s="13">
        <v>0.15</v>
      </c>
      <c r="AA102" s="15">
        <v>0</v>
      </c>
      <c r="AB102" s="14">
        <v>0</v>
      </c>
      <c r="AC102" s="14">
        <v>0</v>
      </c>
      <c r="AD102" s="15">
        <v>0</v>
      </c>
      <c r="AE102" s="2" t="s">
        <v>253</v>
      </c>
    </row>
    <row r="103" spans="1:31" s="2" customFormat="1" ht="21" customHeight="1" x14ac:dyDescent="0.3">
      <c r="A103" s="8">
        <v>102</v>
      </c>
      <c r="B103" s="8" t="s">
        <v>250</v>
      </c>
      <c r="C103" s="11" t="s">
        <v>260</v>
      </c>
      <c r="D103" s="11" t="s">
        <v>261</v>
      </c>
      <c r="E103" s="11" t="s">
        <v>52</v>
      </c>
      <c r="F103" s="11">
        <v>18</v>
      </c>
      <c r="G103" s="11">
        <v>6.0000000000000001E-3</v>
      </c>
      <c r="H103" s="11">
        <f t="shared" si="6"/>
        <v>0.108</v>
      </c>
      <c r="I103" s="11">
        <v>33</v>
      </c>
      <c r="J103" s="11">
        <v>5.7999999999999996E-3</v>
      </c>
      <c r="K103" s="11">
        <f t="shared" si="7"/>
        <v>0.19139999999999999</v>
      </c>
      <c r="L103" s="8">
        <v>26</v>
      </c>
      <c r="M103" s="11">
        <v>1.2E-2</v>
      </c>
      <c r="N103" s="12">
        <f t="shared" si="8"/>
        <v>0.312</v>
      </c>
      <c r="O103" s="13">
        <v>0.108</v>
      </c>
      <c r="P103" s="13">
        <v>5.5E-2</v>
      </c>
      <c r="Q103" s="13">
        <v>0.45</v>
      </c>
      <c r="R103" s="13">
        <v>7.1999999999999995E-2</v>
      </c>
      <c r="S103" s="13">
        <v>4.1000000000000002E-2</v>
      </c>
      <c r="T103" s="13">
        <v>4.1000000000000002E-2</v>
      </c>
      <c r="U103" s="14">
        <v>0</v>
      </c>
      <c r="V103" s="14">
        <v>0</v>
      </c>
      <c r="W103" s="13">
        <v>0.11</v>
      </c>
      <c r="X103" s="13">
        <v>0.15</v>
      </c>
      <c r="Y103" s="13">
        <v>0.08</v>
      </c>
      <c r="Z103" s="13">
        <v>0.15</v>
      </c>
      <c r="AA103" s="15">
        <v>0</v>
      </c>
      <c r="AB103" s="14">
        <v>0</v>
      </c>
      <c r="AC103" s="14">
        <v>0</v>
      </c>
      <c r="AD103" s="15">
        <v>0</v>
      </c>
      <c r="AE103" s="2" t="s">
        <v>253</v>
      </c>
    </row>
    <row r="104" spans="1:31" s="2" customFormat="1" ht="21" customHeight="1" x14ac:dyDescent="0.3">
      <c r="A104" s="8">
        <v>103</v>
      </c>
      <c r="B104" s="8" t="s">
        <v>250</v>
      </c>
      <c r="C104" s="11" t="s">
        <v>262</v>
      </c>
      <c r="D104" s="11" t="s">
        <v>263</v>
      </c>
      <c r="E104" s="11" t="s">
        <v>93</v>
      </c>
      <c r="F104" s="11">
        <v>17</v>
      </c>
      <c r="G104" s="11">
        <v>6.0000000000000001E-3</v>
      </c>
      <c r="H104" s="11">
        <f t="shared" si="6"/>
        <v>0.10200000000000001</v>
      </c>
      <c r="I104" s="11">
        <v>36</v>
      </c>
      <c r="J104" s="11">
        <v>5.7999999999999996E-3</v>
      </c>
      <c r="K104" s="11">
        <f t="shared" si="7"/>
        <v>0.20879999999999999</v>
      </c>
      <c r="L104" s="8">
        <v>30</v>
      </c>
      <c r="M104" s="11">
        <v>1.2E-2</v>
      </c>
      <c r="N104" s="12">
        <f t="shared" si="8"/>
        <v>0.36</v>
      </c>
      <c r="O104" s="13">
        <v>0.108</v>
      </c>
      <c r="P104" s="13">
        <v>5.5E-2</v>
      </c>
      <c r="Q104" s="13">
        <v>0.45</v>
      </c>
      <c r="R104" s="13">
        <v>7.1999999999999995E-2</v>
      </c>
      <c r="S104" s="13">
        <v>4.1000000000000002E-2</v>
      </c>
      <c r="T104" s="13">
        <v>4.1000000000000002E-2</v>
      </c>
      <c r="U104" s="14">
        <v>0</v>
      </c>
      <c r="V104" s="14">
        <v>0</v>
      </c>
      <c r="W104" s="13">
        <v>0.11</v>
      </c>
      <c r="X104" s="13">
        <v>0.15</v>
      </c>
      <c r="Y104" s="13">
        <v>0.08</v>
      </c>
      <c r="Z104" s="13">
        <v>0.15</v>
      </c>
      <c r="AA104" s="15">
        <v>0</v>
      </c>
      <c r="AB104" s="14">
        <v>0</v>
      </c>
      <c r="AC104" s="14">
        <v>0</v>
      </c>
      <c r="AD104" s="15">
        <v>0</v>
      </c>
      <c r="AE104" s="2" t="s">
        <v>253</v>
      </c>
    </row>
    <row r="105" spans="1:31" s="2" customFormat="1" ht="21" customHeight="1" x14ac:dyDescent="0.3">
      <c r="A105" s="8">
        <v>104</v>
      </c>
      <c r="B105" s="8" t="s">
        <v>250</v>
      </c>
      <c r="C105" s="11" t="s">
        <v>264</v>
      </c>
      <c r="D105" s="11" t="s">
        <v>265</v>
      </c>
      <c r="E105" s="11" t="s">
        <v>93</v>
      </c>
      <c r="F105" s="11">
        <v>18</v>
      </c>
      <c r="G105" s="11">
        <v>6.0000000000000001E-3</v>
      </c>
      <c r="H105" s="11">
        <f t="shared" si="6"/>
        <v>0.108</v>
      </c>
      <c r="I105" s="11">
        <v>36</v>
      </c>
      <c r="J105" s="11">
        <v>5.7999999999999996E-3</v>
      </c>
      <c r="K105" s="11">
        <f t="shared" si="7"/>
        <v>0.20879999999999999</v>
      </c>
      <c r="L105" s="8">
        <v>31</v>
      </c>
      <c r="M105" s="11">
        <v>1.2E-2</v>
      </c>
      <c r="N105" s="12">
        <f t="shared" si="8"/>
        <v>0.372</v>
      </c>
      <c r="O105" s="13">
        <v>0.108</v>
      </c>
      <c r="P105" s="13">
        <v>5.5E-2</v>
      </c>
      <c r="Q105" s="13">
        <v>0.45</v>
      </c>
      <c r="R105" s="13">
        <v>7.1999999999999995E-2</v>
      </c>
      <c r="S105" s="13">
        <v>4.1000000000000002E-2</v>
      </c>
      <c r="T105" s="13">
        <v>4.1000000000000002E-2</v>
      </c>
      <c r="U105" s="14">
        <v>0</v>
      </c>
      <c r="V105" s="14">
        <v>0</v>
      </c>
      <c r="W105" s="13">
        <v>0.11</v>
      </c>
      <c r="X105" s="13">
        <v>0.15</v>
      </c>
      <c r="Y105" s="13">
        <v>0.08</v>
      </c>
      <c r="Z105" s="13">
        <v>0.15</v>
      </c>
      <c r="AA105" s="15">
        <v>0</v>
      </c>
      <c r="AB105" s="14">
        <v>0</v>
      </c>
      <c r="AC105" s="14">
        <v>0</v>
      </c>
      <c r="AD105" s="15">
        <v>0</v>
      </c>
      <c r="AE105" s="2" t="s">
        <v>253</v>
      </c>
    </row>
    <row r="106" spans="1:31" s="3" customFormat="1" ht="21" customHeight="1" x14ac:dyDescent="0.3">
      <c r="A106" s="8">
        <v>105</v>
      </c>
      <c r="B106" s="8" t="s">
        <v>250</v>
      </c>
      <c r="C106" s="11" t="s">
        <v>266</v>
      </c>
      <c r="D106" s="11" t="s">
        <v>267</v>
      </c>
      <c r="E106" s="11" t="s">
        <v>267</v>
      </c>
      <c r="F106" s="11">
        <v>18</v>
      </c>
      <c r="G106" s="11">
        <v>6.0000000000000001E-3</v>
      </c>
      <c r="H106" s="11">
        <f t="shared" si="6"/>
        <v>0.108</v>
      </c>
      <c r="I106" s="11">
        <v>37</v>
      </c>
      <c r="J106" s="11">
        <v>5.7999999999999996E-3</v>
      </c>
      <c r="K106" s="11">
        <f t="shared" si="7"/>
        <v>0.21459999999999999</v>
      </c>
      <c r="L106" s="11">
        <v>25</v>
      </c>
      <c r="M106" s="11">
        <v>1.2E-2</v>
      </c>
      <c r="N106" s="12">
        <f t="shared" si="8"/>
        <v>0.3</v>
      </c>
      <c r="O106" s="13">
        <v>0.108</v>
      </c>
      <c r="P106" s="13">
        <v>5.5E-2</v>
      </c>
      <c r="Q106" s="13">
        <v>0.39</v>
      </c>
      <c r="R106" s="13">
        <v>7.1999999999999995E-2</v>
      </c>
      <c r="S106" s="13">
        <v>4.1000000000000002E-2</v>
      </c>
      <c r="T106" s="13">
        <v>4.1000000000000002E-2</v>
      </c>
      <c r="U106" s="14">
        <v>0</v>
      </c>
      <c r="V106" s="14">
        <v>0</v>
      </c>
      <c r="W106" s="13">
        <v>0.11</v>
      </c>
      <c r="X106" s="13">
        <v>0.15</v>
      </c>
      <c r="Y106" s="13">
        <v>0.08</v>
      </c>
      <c r="Z106" s="13">
        <v>0.15</v>
      </c>
      <c r="AA106" s="15">
        <v>0</v>
      </c>
      <c r="AB106" s="14">
        <v>0</v>
      </c>
      <c r="AC106" s="14">
        <v>0</v>
      </c>
      <c r="AD106" s="15">
        <v>0</v>
      </c>
    </row>
    <row r="107" spans="1:31" s="3" customFormat="1" ht="21" customHeight="1" x14ac:dyDescent="0.3">
      <c r="A107" s="8">
        <v>106</v>
      </c>
      <c r="B107" s="8" t="s">
        <v>250</v>
      </c>
      <c r="C107" s="16" t="s">
        <v>268</v>
      </c>
      <c r="D107" s="11" t="s">
        <v>269</v>
      </c>
      <c r="E107" s="11" t="s">
        <v>52</v>
      </c>
      <c r="F107" s="11">
        <v>16</v>
      </c>
      <c r="G107" s="11">
        <v>6.0000000000000001E-3</v>
      </c>
      <c r="H107" s="11">
        <f t="shared" si="6"/>
        <v>9.6000000000000002E-2</v>
      </c>
      <c r="I107" s="11">
        <v>37</v>
      </c>
      <c r="J107" s="11">
        <v>5.7999999999999996E-3</v>
      </c>
      <c r="K107" s="11">
        <f t="shared" si="7"/>
        <v>0.21459999999999999</v>
      </c>
      <c r="L107" s="11">
        <v>27</v>
      </c>
      <c r="M107" s="11">
        <v>1.2E-2</v>
      </c>
      <c r="N107" s="12">
        <f t="shared" si="8"/>
        <v>0.32400000000000001</v>
      </c>
      <c r="O107" s="13">
        <v>0.108</v>
      </c>
      <c r="P107" s="13">
        <v>5.5E-2</v>
      </c>
      <c r="Q107" s="13">
        <v>0.39</v>
      </c>
      <c r="R107" s="13">
        <v>7.1999999999999995E-2</v>
      </c>
      <c r="S107" s="13">
        <v>4.1000000000000002E-2</v>
      </c>
      <c r="T107" s="13">
        <v>4.1000000000000002E-2</v>
      </c>
      <c r="U107" s="14">
        <v>0</v>
      </c>
      <c r="V107" s="14">
        <v>0</v>
      </c>
      <c r="W107" s="13">
        <v>0.11</v>
      </c>
      <c r="X107" s="13">
        <v>0.15</v>
      </c>
      <c r="Y107" s="13">
        <v>0.08</v>
      </c>
      <c r="Z107" s="13">
        <v>0.15</v>
      </c>
      <c r="AA107" s="15">
        <v>0</v>
      </c>
      <c r="AB107" s="14">
        <v>0</v>
      </c>
      <c r="AC107" s="14">
        <v>0</v>
      </c>
      <c r="AD107" s="15">
        <v>0</v>
      </c>
    </row>
    <row r="108" spans="1:31" s="3" customFormat="1" ht="21" customHeight="1" x14ac:dyDescent="0.3">
      <c r="A108" s="8">
        <v>107</v>
      </c>
      <c r="B108" s="8" t="s">
        <v>131</v>
      </c>
      <c r="C108" s="11" t="s">
        <v>270</v>
      </c>
      <c r="D108" s="11" t="s">
        <v>271</v>
      </c>
      <c r="E108" s="11" t="s">
        <v>93</v>
      </c>
      <c r="F108" s="11">
        <v>44</v>
      </c>
      <c r="G108" s="11">
        <v>6.0000000000000001E-3</v>
      </c>
      <c r="H108" s="11">
        <f t="shared" si="6"/>
        <v>0.26400000000000001</v>
      </c>
      <c r="I108" s="11">
        <v>0</v>
      </c>
      <c r="J108" s="11">
        <v>5.7999999999999996E-3</v>
      </c>
      <c r="K108" s="11">
        <f t="shared" si="7"/>
        <v>0</v>
      </c>
      <c r="L108" s="11">
        <v>29</v>
      </c>
      <c r="M108" s="11">
        <v>1.2E-2</v>
      </c>
      <c r="N108" s="12">
        <f t="shared" si="8"/>
        <v>0.34800000000000003</v>
      </c>
      <c r="O108" s="13">
        <v>0.108</v>
      </c>
      <c r="P108" s="13">
        <v>5.5E-2</v>
      </c>
      <c r="Q108" s="13">
        <v>0.55000000000000004</v>
      </c>
      <c r="R108" s="13">
        <v>0.1</v>
      </c>
      <c r="S108" s="13">
        <v>4.1000000000000002E-2</v>
      </c>
      <c r="T108" s="13">
        <v>4.1000000000000002E-2</v>
      </c>
      <c r="U108" s="14">
        <v>0</v>
      </c>
      <c r="V108" s="14">
        <v>0</v>
      </c>
      <c r="W108" s="13">
        <v>0.12</v>
      </c>
      <c r="X108" s="13">
        <f>0.18</f>
        <v>0.18</v>
      </c>
      <c r="Y108" s="13">
        <f t="shared" ref="Y108:Y113" si="9">0.09+0.26</f>
        <v>0.35</v>
      </c>
      <c r="Z108" s="15">
        <v>0</v>
      </c>
      <c r="AA108" s="15">
        <v>0</v>
      </c>
      <c r="AB108" s="14">
        <v>0</v>
      </c>
      <c r="AC108" s="11">
        <v>0</v>
      </c>
      <c r="AD108" s="15">
        <v>0</v>
      </c>
      <c r="AE108" s="3" t="s">
        <v>272</v>
      </c>
    </row>
    <row r="109" spans="1:31" s="3" customFormat="1" ht="21" customHeight="1" x14ac:dyDescent="0.3">
      <c r="A109" s="8">
        <v>108</v>
      </c>
      <c r="B109" s="8" t="s">
        <v>131</v>
      </c>
      <c r="C109" s="11" t="s">
        <v>273</v>
      </c>
      <c r="D109" s="11" t="s">
        <v>274</v>
      </c>
      <c r="E109" s="11" t="s">
        <v>93</v>
      </c>
      <c r="F109" s="11">
        <v>43</v>
      </c>
      <c r="G109" s="11">
        <v>6.0000000000000001E-3</v>
      </c>
      <c r="H109" s="11">
        <f t="shared" si="6"/>
        <v>0.25800000000000001</v>
      </c>
      <c r="I109" s="11">
        <v>0</v>
      </c>
      <c r="J109" s="11">
        <v>5.7999999999999996E-3</v>
      </c>
      <c r="K109" s="11">
        <f t="shared" si="7"/>
        <v>0</v>
      </c>
      <c r="L109" s="11">
        <v>29</v>
      </c>
      <c r="M109" s="11">
        <v>1.2E-2</v>
      </c>
      <c r="N109" s="12">
        <f t="shared" si="8"/>
        <v>0.34800000000000003</v>
      </c>
      <c r="O109" s="13">
        <v>0.108</v>
      </c>
      <c r="P109" s="13">
        <v>5.5E-2</v>
      </c>
      <c r="Q109" s="13">
        <v>0.55000000000000004</v>
      </c>
      <c r="R109" s="13">
        <v>0.1</v>
      </c>
      <c r="S109" s="13">
        <v>4.1000000000000002E-2</v>
      </c>
      <c r="T109" s="13">
        <v>4.1000000000000002E-2</v>
      </c>
      <c r="U109" s="14">
        <v>0</v>
      </c>
      <c r="V109" s="14">
        <v>0</v>
      </c>
      <c r="W109" s="13">
        <v>0.12</v>
      </c>
      <c r="X109" s="13">
        <v>0.18</v>
      </c>
      <c r="Y109" s="13">
        <f t="shared" si="9"/>
        <v>0.35</v>
      </c>
      <c r="Z109" s="15">
        <v>0</v>
      </c>
      <c r="AA109" s="15">
        <v>0</v>
      </c>
      <c r="AB109" s="14">
        <v>0</v>
      </c>
      <c r="AC109" s="11">
        <v>0</v>
      </c>
      <c r="AD109" s="15">
        <v>0</v>
      </c>
      <c r="AE109" s="3" t="s">
        <v>272</v>
      </c>
    </row>
    <row r="110" spans="1:31" s="3" customFormat="1" ht="21" customHeight="1" x14ac:dyDescent="0.3">
      <c r="A110" s="8">
        <v>109</v>
      </c>
      <c r="B110" s="8" t="s">
        <v>131</v>
      </c>
      <c r="C110" s="11" t="s">
        <v>275</v>
      </c>
      <c r="D110" s="11" t="s">
        <v>276</v>
      </c>
      <c r="E110" s="11" t="s">
        <v>52</v>
      </c>
      <c r="F110" s="11">
        <v>19</v>
      </c>
      <c r="G110" s="11">
        <v>6.0000000000000001E-3</v>
      </c>
      <c r="H110" s="11">
        <f t="shared" si="6"/>
        <v>0.114</v>
      </c>
      <c r="I110" s="11">
        <v>37</v>
      </c>
      <c r="J110" s="11">
        <v>5.7999999999999996E-3</v>
      </c>
      <c r="K110" s="11">
        <f t="shared" si="7"/>
        <v>0.21459999999999999</v>
      </c>
      <c r="L110" s="11">
        <v>34</v>
      </c>
      <c r="M110" s="11">
        <v>1.2E-2</v>
      </c>
      <c r="N110" s="12">
        <f t="shared" si="8"/>
        <v>0.40800000000000003</v>
      </c>
      <c r="O110" s="13">
        <v>0.108</v>
      </c>
      <c r="P110" s="13">
        <v>5.5E-2</v>
      </c>
      <c r="Q110" s="13">
        <v>0.55000000000000004</v>
      </c>
      <c r="R110" s="13">
        <v>0.1</v>
      </c>
      <c r="S110" s="13">
        <v>4.1000000000000002E-2</v>
      </c>
      <c r="T110" s="13">
        <v>4.1000000000000002E-2</v>
      </c>
      <c r="U110" s="14">
        <v>0</v>
      </c>
      <c r="V110" s="14">
        <v>0</v>
      </c>
      <c r="W110" s="13">
        <v>0.12</v>
      </c>
      <c r="X110" s="13">
        <v>0.18</v>
      </c>
      <c r="Y110" s="13">
        <f t="shared" si="9"/>
        <v>0.35</v>
      </c>
      <c r="Z110" s="15">
        <v>0</v>
      </c>
      <c r="AA110" s="15">
        <v>0</v>
      </c>
      <c r="AB110" s="14">
        <v>0</v>
      </c>
      <c r="AC110" s="11">
        <v>0</v>
      </c>
      <c r="AD110" s="15">
        <v>0</v>
      </c>
      <c r="AE110" s="3" t="s">
        <v>272</v>
      </c>
    </row>
    <row r="111" spans="1:31" s="3" customFormat="1" ht="21" customHeight="1" x14ac:dyDescent="0.3">
      <c r="A111" s="8">
        <v>110</v>
      </c>
      <c r="B111" s="8" t="s">
        <v>131</v>
      </c>
      <c r="C111" s="11" t="s">
        <v>277</v>
      </c>
      <c r="D111" s="11" t="s">
        <v>278</v>
      </c>
      <c r="E111" s="11" t="s">
        <v>52</v>
      </c>
      <c r="F111" s="11">
        <v>19</v>
      </c>
      <c r="G111" s="11">
        <v>6.0000000000000001E-3</v>
      </c>
      <c r="H111" s="11">
        <f t="shared" si="6"/>
        <v>0.114</v>
      </c>
      <c r="I111" s="11">
        <v>37</v>
      </c>
      <c r="J111" s="11">
        <v>5.7999999999999996E-3</v>
      </c>
      <c r="K111" s="11">
        <f t="shared" si="7"/>
        <v>0.21459999999999999</v>
      </c>
      <c r="L111" s="11">
        <v>34</v>
      </c>
      <c r="M111" s="11">
        <v>1.2E-2</v>
      </c>
      <c r="N111" s="12">
        <f t="shared" si="8"/>
        <v>0.40800000000000003</v>
      </c>
      <c r="O111" s="13">
        <v>0.108</v>
      </c>
      <c r="P111" s="13">
        <v>5.5E-2</v>
      </c>
      <c r="Q111" s="13">
        <v>0.55000000000000004</v>
      </c>
      <c r="R111" s="13">
        <v>0.1</v>
      </c>
      <c r="S111" s="13">
        <v>4.1000000000000002E-2</v>
      </c>
      <c r="T111" s="13">
        <v>4.1000000000000002E-2</v>
      </c>
      <c r="U111" s="14">
        <v>0</v>
      </c>
      <c r="V111" s="14">
        <v>0</v>
      </c>
      <c r="W111" s="13">
        <v>0.12</v>
      </c>
      <c r="X111" s="13">
        <v>0.18</v>
      </c>
      <c r="Y111" s="13">
        <f t="shared" si="9"/>
        <v>0.35</v>
      </c>
      <c r="Z111" s="15">
        <v>0</v>
      </c>
      <c r="AA111" s="15">
        <v>0</v>
      </c>
      <c r="AB111" s="14">
        <v>0</v>
      </c>
      <c r="AC111" s="11">
        <v>0</v>
      </c>
      <c r="AD111" s="15">
        <v>0</v>
      </c>
      <c r="AE111" s="3" t="s">
        <v>272</v>
      </c>
    </row>
    <row r="112" spans="1:31" s="3" customFormat="1" ht="21" customHeight="1" x14ac:dyDescent="0.3">
      <c r="A112" s="8">
        <v>111</v>
      </c>
      <c r="B112" s="8" t="s">
        <v>131</v>
      </c>
      <c r="C112" s="11" t="s">
        <v>279</v>
      </c>
      <c r="D112" s="11" t="s">
        <v>280</v>
      </c>
      <c r="E112" s="11" t="s">
        <v>52</v>
      </c>
      <c r="F112" s="11">
        <v>19</v>
      </c>
      <c r="G112" s="11">
        <v>6.0000000000000001E-3</v>
      </c>
      <c r="H112" s="11">
        <f t="shared" si="6"/>
        <v>0.114</v>
      </c>
      <c r="I112" s="11">
        <v>37</v>
      </c>
      <c r="J112" s="11">
        <v>5.7999999999999996E-3</v>
      </c>
      <c r="K112" s="11">
        <f t="shared" si="7"/>
        <v>0.21459999999999999</v>
      </c>
      <c r="L112" s="11">
        <v>33</v>
      </c>
      <c r="M112" s="11">
        <v>1.2E-2</v>
      </c>
      <c r="N112" s="12">
        <f t="shared" si="8"/>
        <v>0.39600000000000002</v>
      </c>
      <c r="O112" s="13">
        <v>0.108</v>
      </c>
      <c r="P112" s="13">
        <v>5.5E-2</v>
      </c>
      <c r="Q112" s="13">
        <v>0.55000000000000004</v>
      </c>
      <c r="R112" s="13">
        <v>0.1</v>
      </c>
      <c r="S112" s="13">
        <v>4.1000000000000002E-2</v>
      </c>
      <c r="T112" s="13">
        <v>4.1000000000000002E-2</v>
      </c>
      <c r="U112" s="14">
        <v>0</v>
      </c>
      <c r="V112" s="14">
        <v>0</v>
      </c>
      <c r="W112" s="13">
        <v>0.12</v>
      </c>
      <c r="X112" s="13">
        <v>0.18</v>
      </c>
      <c r="Y112" s="13">
        <f t="shared" si="9"/>
        <v>0.35</v>
      </c>
      <c r="Z112" s="15">
        <v>0</v>
      </c>
      <c r="AA112" s="15">
        <v>0</v>
      </c>
      <c r="AB112" s="14">
        <v>0</v>
      </c>
      <c r="AC112" s="11">
        <v>0</v>
      </c>
      <c r="AD112" s="15">
        <v>0</v>
      </c>
    </row>
    <row r="113" spans="1:31" s="3" customFormat="1" ht="21" customHeight="1" x14ac:dyDescent="0.3">
      <c r="A113" s="8">
        <v>112</v>
      </c>
      <c r="B113" s="8" t="s">
        <v>131</v>
      </c>
      <c r="C113" s="11" t="s">
        <v>281</v>
      </c>
      <c r="D113" s="11" t="s">
        <v>282</v>
      </c>
      <c r="E113" s="11" t="s">
        <v>52</v>
      </c>
      <c r="F113" s="11">
        <v>19</v>
      </c>
      <c r="G113" s="11">
        <v>6.0000000000000001E-3</v>
      </c>
      <c r="H113" s="11">
        <f t="shared" si="6"/>
        <v>0.114</v>
      </c>
      <c r="I113" s="11">
        <v>37</v>
      </c>
      <c r="J113" s="11">
        <v>5.7999999999999996E-3</v>
      </c>
      <c r="K113" s="11">
        <f t="shared" si="7"/>
        <v>0.21459999999999999</v>
      </c>
      <c r="L113" s="11">
        <v>34</v>
      </c>
      <c r="M113" s="11">
        <v>1.2E-2</v>
      </c>
      <c r="N113" s="12">
        <f t="shared" si="8"/>
        <v>0.40800000000000003</v>
      </c>
      <c r="O113" s="13">
        <v>0.108</v>
      </c>
      <c r="P113" s="13">
        <v>5.5E-2</v>
      </c>
      <c r="Q113" s="13">
        <v>0.55000000000000004</v>
      </c>
      <c r="R113" s="13">
        <v>0.1</v>
      </c>
      <c r="S113" s="13">
        <v>4.1000000000000002E-2</v>
      </c>
      <c r="T113" s="13">
        <v>4.1000000000000002E-2</v>
      </c>
      <c r="U113" s="14">
        <v>0</v>
      </c>
      <c r="V113" s="14">
        <v>0</v>
      </c>
      <c r="W113" s="13">
        <v>0.12</v>
      </c>
      <c r="X113" s="13">
        <v>0.18</v>
      </c>
      <c r="Y113" s="13">
        <f t="shared" si="9"/>
        <v>0.35</v>
      </c>
      <c r="Z113" s="15">
        <v>0</v>
      </c>
      <c r="AA113" s="15">
        <v>0</v>
      </c>
      <c r="AB113" s="14">
        <v>0</v>
      </c>
      <c r="AC113" s="11">
        <v>0</v>
      </c>
      <c r="AD113" s="15">
        <v>0</v>
      </c>
    </row>
    <row r="114" spans="1:31" s="3" customFormat="1" ht="21" customHeight="1" x14ac:dyDescent="0.3">
      <c r="A114" s="8">
        <v>113</v>
      </c>
      <c r="B114" s="8"/>
      <c r="C114" s="11" t="s">
        <v>283</v>
      </c>
      <c r="D114" s="11" t="s">
        <v>284</v>
      </c>
      <c r="E114" s="11" t="s">
        <v>93</v>
      </c>
      <c r="F114" s="11">
        <v>0</v>
      </c>
      <c r="G114" s="11">
        <v>0</v>
      </c>
      <c r="H114" s="11">
        <f t="shared" si="6"/>
        <v>0</v>
      </c>
      <c r="I114" s="11">
        <v>72</v>
      </c>
      <c r="J114" s="11">
        <v>5.7999999999999996E-3</v>
      </c>
      <c r="K114" s="11">
        <f t="shared" si="7"/>
        <v>0.41759999999999997</v>
      </c>
      <c r="L114" s="11">
        <v>39</v>
      </c>
      <c r="M114" s="11">
        <v>1.2E-2</v>
      </c>
      <c r="N114" s="12">
        <f t="shared" si="8"/>
        <v>0.46800000000000003</v>
      </c>
      <c r="O114" s="13">
        <v>0.1</v>
      </c>
      <c r="P114" s="13">
        <v>5.5E-2</v>
      </c>
      <c r="Q114" s="13">
        <v>0.5</v>
      </c>
      <c r="R114" s="13">
        <v>0.08</v>
      </c>
      <c r="S114" s="13">
        <v>4.1000000000000002E-2</v>
      </c>
      <c r="T114" s="13">
        <v>4.1000000000000002E-2</v>
      </c>
      <c r="U114" s="14">
        <v>0</v>
      </c>
      <c r="V114" s="14">
        <v>0</v>
      </c>
      <c r="W114" s="11">
        <v>0.11</v>
      </c>
      <c r="X114" s="11">
        <v>0.18</v>
      </c>
      <c r="Y114" s="11">
        <v>0.11</v>
      </c>
      <c r="Z114" s="15">
        <v>0</v>
      </c>
      <c r="AA114" s="15">
        <v>0</v>
      </c>
      <c r="AB114" s="14">
        <v>0</v>
      </c>
      <c r="AC114" s="14">
        <v>0</v>
      </c>
      <c r="AD114" s="15">
        <v>0</v>
      </c>
    </row>
    <row r="115" spans="1:31" s="3" customFormat="1" ht="21" customHeight="1" x14ac:dyDescent="0.3">
      <c r="A115" s="8">
        <v>114</v>
      </c>
      <c r="B115" s="8" t="s">
        <v>131</v>
      </c>
      <c r="C115" s="11" t="s">
        <v>285</v>
      </c>
      <c r="D115" s="11" t="s">
        <v>286</v>
      </c>
      <c r="E115" s="11" t="s">
        <v>64</v>
      </c>
      <c r="F115" s="11">
        <v>16</v>
      </c>
      <c r="G115" s="11">
        <v>6.0000000000000001E-3</v>
      </c>
      <c r="H115" s="11">
        <f t="shared" si="6"/>
        <v>9.6000000000000002E-2</v>
      </c>
      <c r="I115" s="11">
        <v>39</v>
      </c>
      <c r="J115" s="11">
        <v>5.7999999999999996E-3</v>
      </c>
      <c r="K115" s="11">
        <f t="shared" si="7"/>
        <v>0.22619999999999998</v>
      </c>
      <c r="L115" s="11">
        <v>26</v>
      </c>
      <c r="M115" s="11">
        <v>1.2E-2</v>
      </c>
      <c r="N115" s="12">
        <f t="shared" si="8"/>
        <v>0.312</v>
      </c>
      <c r="O115" s="13">
        <v>0.108</v>
      </c>
      <c r="P115" s="13">
        <v>5.5E-2</v>
      </c>
      <c r="Q115" s="13">
        <v>0.55000000000000004</v>
      </c>
      <c r="R115" s="13">
        <v>0.1</v>
      </c>
      <c r="S115" s="13">
        <v>4.1000000000000002E-2</v>
      </c>
      <c r="T115" s="13">
        <v>4.1000000000000002E-2</v>
      </c>
      <c r="U115" s="14">
        <v>0</v>
      </c>
      <c r="V115" s="14">
        <v>0</v>
      </c>
      <c r="W115" s="13">
        <v>0.12</v>
      </c>
      <c r="X115" s="13">
        <v>0.18</v>
      </c>
      <c r="Y115" s="13">
        <f t="shared" ref="Y115:Y127" si="10">0.09+0.26</f>
        <v>0.35</v>
      </c>
      <c r="Z115" s="15">
        <v>0</v>
      </c>
      <c r="AA115" s="15">
        <v>0</v>
      </c>
      <c r="AB115" s="14">
        <v>0</v>
      </c>
      <c r="AC115" s="11">
        <v>0</v>
      </c>
      <c r="AD115" s="15">
        <v>0</v>
      </c>
      <c r="AE115" s="3" t="s">
        <v>287</v>
      </c>
    </row>
    <row r="116" spans="1:31" s="3" customFormat="1" ht="21" customHeight="1" x14ac:dyDescent="0.3">
      <c r="A116" s="8">
        <v>115</v>
      </c>
      <c r="B116" s="8" t="s">
        <v>131</v>
      </c>
      <c r="C116" s="11" t="s">
        <v>288</v>
      </c>
      <c r="D116" s="11" t="s">
        <v>289</v>
      </c>
      <c r="E116" s="11" t="s">
        <v>64</v>
      </c>
      <c r="F116" s="11">
        <v>0</v>
      </c>
      <c r="G116" s="11">
        <v>0</v>
      </c>
      <c r="H116" s="11">
        <f t="shared" si="6"/>
        <v>0</v>
      </c>
      <c r="I116" s="11">
        <v>52</v>
      </c>
      <c r="J116" s="11">
        <v>5.7999999999999996E-3</v>
      </c>
      <c r="K116" s="11">
        <f t="shared" si="7"/>
        <v>0.30159999999999998</v>
      </c>
      <c r="L116" s="11">
        <v>29</v>
      </c>
      <c r="M116" s="11">
        <v>1.2E-2</v>
      </c>
      <c r="N116" s="12">
        <f t="shared" si="8"/>
        <v>0.34800000000000003</v>
      </c>
      <c r="O116" s="13">
        <v>0.108</v>
      </c>
      <c r="P116" s="13">
        <v>5.5E-2</v>
      </c>
      <c r="Q116" s="13">
        <v>0.55000000000000004</v>
      </c>
      <c r="R116" s="13">
        <v>0.1</v>
      </c>
      <c r="S116" s="13">
        <v>4.1000000000000002E-2</v>
      </c>
      <c r="T116" s="13">
        <v>4.1000000000000002E-2</v>
      </c>
      <c r="U116" s="14">
        <v>0</v>
      </c>
      <c r="V116" s="14">
        <v>0</v>
      </c>
      <c r="W116" s="13">
        <v>0.12</v>
      </c>
      <c r="X116" s="13">
        <v>0.18</v>
      </c>
      <c r="Y116" s="13">
        <f t="shared" si="10"/>
        <v>0.35</v>
      </c>
      <c r="Z116" s="15">
        <v>0</v>
      </c>
      <c r="AA116" s="15">
        <v>0</v>
      </c>
      <c r="AB116" s="14">
        <v>0</v>
      </c>
      <c r="AC116" s="11">
        <v>0</v>
      </c>
      <c r="AD116" s="15">
        <v>0</v>
      </c>
      <c r="AE116" s="3" t="s">
        <v>287</v>
      </c>
    </row>
    <row r="117" spans="1:31" s="3" customFormat="1" ht="21" customHeight="1" x14ac:dyDescent="0.3">
      <c r="A117" s="8">
        <v>116</v>
      </c>
      <c r="B117" s="8" t="s">
        <v>131</v>
      </c>
      <c r="C117" s="11" t="s">
        <v>290</v>
      </c>
      <c r="D117" s="11" t="s">
        <v>291</v>
      </c>
      <c r="E117" s="11" t="s">
        <v>52</v>
      </c>
      <c r="F117" s="11">
        <v>0</v>
      </c>
      <c r="G117" s="11">
        <v>0</v>
      </c>
      <c r="H117" s="11">
        <f t="shared" si="6"/>
        <v>0</v>
      </c>
      <c r="I117" s="11">
        <v>57</v>
      </c>
      <c r="J117" s="11">
        <v>5.7999999999999996E-3</v>
      </c>
      <c r="K117" s="11">
        <f t="shared" si="7"/>
        <v>0.3306</v>
      </c>
      <c r="L117" s="11">
        <v>46</v>
      </c>
      <c r="M117" s="11">
        <v>1.2E-2</v>
      </c>
      <c r="N117" s="12">
        <f t="shared" si="8"/>
        <v>0.55200000000000005</v>
      </c>
      <c r="O117" s="13">
        <v>0.108</v>
      </c>
      <c r="P117" s="13">
        <v>5.5E-2</v>
      </c>
      <c r="Q117" s="13">
        <v>0.55000000000000004</v>
      </c>
      <c r="R117" s="13">
        <v>0.1</v>
      </c>
      <c r="S117" s="13">
        <v>4.1000000000000002E-2</v>
      </c>
      <c r="T117" s="13">
        <v>4.1000000000000002E-2</v>
      </c>
      <c r="U117" s="14">
        <v>0</v>
      </c>
      <c r="V117" s="14">
        <v>0</v>
      </c>
      <c r="W117" s="13">
        <v>0.12</v>
      </c>
      <c r="X117" s="13">
        <v>0.18</v>
      </c>
      <c r="Y117" s="13">
        <f t="shared" si="10"/>
        <v>0.35</v>
      </c>
      <c r="Z117" s="15">
        <v>0</v>
      </c>
      <c r="AA117" s="15">
        <v>0</v>
      </c>
      <c r="AB117" s="14">
        <v>0</v>
      </c>
      <c r="AC117" s="11">
        <v>0</v>
      </c>
      <c r="AD117" s="15">
        <v>0</v>
      </c>
      <c r="AE117" s="3" t="s">
        <v>287</v>
      </c>
    </row>
    <row r="118" spans="1:31" s="3" customFormat="1" ht="21" customHeight="1" x14ac:dyDescent="0.3">
      <c r="A118" s="8">
        <v>117</v>
      </c>
      <c r="B118" s="8" t="s">
        <v>131</v>
      </c>
      <c r="C118" s="11" t="s">
        <v>292</v>
      </c>
      <c r="D118" s="11" t="s">
        <v>293</v>
      </c>
      <c r="E118" s="11" t="s">
        <v>293</v>
      </c>
      <c r="F118" s="11">
        <v>0</v>
      </c>
      <c r="G118" s="11">
        <v>0</v>
      </c>
      <c r="H118" s="11">
        <f t="shared" si="6"/>
        <v>0</v>
      </c>
      <c r="I118" s="11">
        <v>57</v>
      </c>
      <c r="J118" s="11">
        <v>5.7999999999999996E-3</v>
      </c>
      <c r="K118" s="11">
        <f t="shared" si="7"/>
        <v>0.3306</v>
      </c>
      <c r="L118" s="11">
        <v>46</v>
      </c>
      <c r="M118" s="11">
        <v>1.2E-2</v>
      </c>
      <c r="N118" s="12">
        <f t="shared" si="8"/>
        <v>0.55200000000000005</v>
      </c>
      <c r="O118" s="13">
        <v>0.108</v>
      </c>
      <c r="P118" s="13">
        <v>5.5E-2</v>
      </c>
      <c r="Q118" s="13">
        <v>0.55000000000000004</v>
      </c>
      <c r="R118" s="13">
        <v>0.1</v>
      </c>
      <c r="S118" s="13">
        <v>4.1000000000000002E-2</v>
      </c>
      <c r="T118" s="13">
        <v>4.1000000000000002E-2</v>
      </c>
      <c r="U118" s="14">
        <v>0</v>
      </c>
      <c r="V118" s="14">
        <v>0</v>
      </c>
      <c r="W118" s="13">
        <v>0.12</v>
      </c>
      <c r="X118" s="13">
        <v>0.18</v>
      </c>
      <c r="Y118" s="13">
        <f t="shared" si="10"/>
        <v>0.35</v>
      </c>
      <c r="Z118" s="15">
        <v>0</v>
      </c>
      <c r="AA118" s="15">
        <v>0</v>
      </c>
      <c r="AB118" s="14">
        <v>0</v>
      </c>
      <c r="AC118" s="11">
        <v>0</v>
      </c>
      <c r="AD118" s="15">
        <v>0</v>
      </c>
      <c r="AE118" s="3" t="s">
        <v>287</v>
      </c>
    </row>
    <row r="119" spans="1:31" s="3" customFormat="1" ht="21" customHeight="1" x14ac:dyDescent="0.3">
      <c r="A119" s="8">
        <v>118</v>
      </c>
      <c r="B119" s="8" t="s">
        <v>131</v>
      </c>
      <c r="C119" s="11" t="s">
        <v>294</v>
      </c>
      <c r="D119" s="11" t="s">
        <v>295</v>
      </c>
      <c r="E119" s="11" t="s">
        <v>295</v>
      </c>
      <c r="F119" s="11">
        <v>0</v>
      </c>
      <c r="G119" s="11">
        <v>0</v>
      </c>
      <c r="H119" s="11">
        <f t="shared" si="6"/>
        <v>0</v>
      </c>
      <c r="I119" s="11">
        <v>57</v>
      </c>
      <c r="J119" s="11">
        <v>5.7999999999999996E-3</v>
      </c>
      <c r="K119" s="11">
        <f t="shared" si="7"/>
        <v>0.3306</v>
      </c>
      <c r="L119" s="11">
        <v>46</v>
      </c>
      <c r="M119" s="11">
        <v>1.2E-2</v>
      </c>
      <c r="N119" s="12">
        <f t="shared" si="8"/>
        <v>0.55200000000000005</v>
      </c>
      <c r="O119" s="13">
        <v>0.108</v>
      </c>
      <c r="P119" s="13">
        <v>5.5E-2</v>
      </c>
      <c r="Q119" s="13">
        <v>0.55000000000000004</v>
      </c>
      <c r="R119" s="13">
        <v>0.1</v>
      </c>
      <c r="S119" s="13">
        <v>4.1000000000000002E-2</v>
      </c>
      <c r="T119" s="13">
        <v>4.1000000000000002E-2</v>
      </c>
      <c r="U119" s="14">
        <v>0</v>
      </c>
      <c r="V119" s="14">
        <v>0</v>
      </c>
      <c r="W119" s="13">
        <v>0.12</v>
      </c>
      <c r="X119" s="13">
        <v>0.18</v>
      </c>
      <c r="Y119" s="13">
        <f t="shared" si="10"/>
        <v>0.35</v>
      </c>
      <c r="Z119" s="15">
        <v>0</v>
      </c>
      <c r="AA119" s="15">
        <v>0</v>
      </c>
      <c r="AB119" s="14">
        <v>0</v>
      </c>
      <c r="AC119" s="11">
        <v>0</v>
      </c>
      <c r="AD119" s="15">
        <v>0</v>
      </c>
      <c r="AE119" s="3" t="s">
        <v>287</v>
      </c>
    </row>
    <row r="120" spans="1:31" s="2" customFormat="1" ht="21" customHeight="1" x14ac:dyDescent="0.3">
      <c r="A120" s="8">
        <v>119</v>
      </c>
      <c r="B120" s="8" t="s">
        <v>247</v>
      </c>
      <c r="C120" s="11" t="s">
        <v>296</v>
      </c>
      <c r="D120" s="11" t="s">
        <v>297</v>
      </c>
      <c r="E120" s="11" t="s">
        <v>64</v>
      </c>
      <c r="F120" s="11">
        <v>0</v>
      </c>
      <c r="G120" s="11">
        <v>0</v>
      </c>
      <c r="H120" s="11">
        <f t="shared" si="6"/>
        <v>0</v>
      </c>
      <c r="I120" s="11">
        <v>117</v>
      </c>
      <c r="J120" s="11">
        <v>5.7999999999999996E-3</v>
      </c>
      <c r="K120" s="11">
        <f t="shared" si="7"/>
        <v>0.67859999999999998</v>
      </c>
      <c r="L120" s="8">
        <v>49</v>
      </c>
      <c r="M120" s="11">
        <v>1.2E-2</v>
      </c>
      <c r="N120" s="12">
        <f t="shared" si="8"/>
        <v>0.58799999999999997</v>
      </c>
      <c r="O120" s="13">
        <v>0.108</v>
      </c>
      <c r="P120" s="13">
        <v>5.5E-2</v>
      </c>
      <c r="Q120" s="13">
        <v>0.7</v>
      </c>
      <c r="R120" s="13">
        <v>0.1</v>
      </c>
      <c r="S120" s="13">
        <v>0.05</v>
      </c>
      <c r="T120" s="13">
        <v>0.05</v>
      </c>
      <c r="U120" s="14">
        <v>0</v>
      </c>
      <c r="V120" s="14">
        <v>0</v>
      </c>
      <c r="W120" s="13">
        <v>0.13</v>
      </c>
      <c r="X120" s="11">
        <v>0.18</v>
      </c>
      <c r="Y120" s="11">
        <f t="shared" si="10"/>
        <v>0.35</v>
      </c>
      <c r="Z120" s="15">
        <v>0</v>
      </c>
      <c r="AA120" s="15">
        <v>0</v>
      </c>
      <c r="AB120" s="14">
        <v>0</v>
      </c>
      <c r="AC120" s="11">
        <v>0</v>
      </c>
      <c r="AD120" s="15">
        <v>0</v>
      </c>
      <c r="AE120" s="2" t="s">
        <v>298</v>
      </c>
    </row>
    <row r="121" spans="1:31" s="2" customFormat="1" ht="21" customHeight="1" x14ac:dyDescent="0.3">
      <c r="A121" s="8">
        <v>120</v>
      </c>
      <c r="B121" s="8" t="s">
        <v>247</v>
      </c>
      <c r="C121" s="11" t="s">
        <v>299</v>
      </c>
      <c r="D121" s="11" t="s">
        <v>300</v>
      </c>
      <c r="E121" s="11" t="s">
        <v>64</v>
      </c>
      <c r="F121" s="11">
        <v>0</v>
      </c>
      <c r="G121" s="11">
        <v>0</v>
      </c>
      <c r="H121" s="11">
        <f t="shared" si="6"/>
        <v>0</v>
      </c>
      <c r="I121" s="11">
        <v>117</v>
      </c>
      <c r="J121" s="11">
        <v>5.7999999999999996E-3</v>
      </c>
      <c r="K121" s="11">
        <f t="shared" si="7"/>
        <v>0.67859999999999998</v>
      </c>
      <c r="L121" s="8">
        <v>45</v>
      </c>
      <c r="M121" s="11">
        <v>1.2E-2</v>
      </c>
      <c r="N121" s="12">
        <f t="shared" si="8"/>
        <v>0.54</v>
      </c>
      <c r="O121" s="13">
        <v>0.108</v>
      </c>
      <c r="P121" s="13">
        <v>5.5E-2</v>
      </c>
      <c r="Q121" s="13">
        <v>0.7</v>
      </c>
      <c r="R121" s="13">
        <v>0.1</v>
      </c>
      <c r="S121" s="13">
        <v>0.05</v>
      </c>
      <c r="T121" s="13">
        <v>0.05</v>
      </c>
      <c r="U121" s="14">
        <v>0</v>
      </c>
      <c r="V121" s="14">
        <v>0</v>
      </c>
      <c r="W121" s="13">
        <v>0.13</v>
      </c>
      <c r="X121" s="11">
        <v>0.18</v>
      </c>
      <c r="Y121" s="11">
        <f t="shared" si="10"/>
        <v>0.35</v>
      </c>
      <c r="Z121" s="15">
        <v>0</v>
      </c>
      <c r="AA121" s="15">
        <v>0</v>
      </c>
      <c r="AB121" s="14">
        <v>0</v>
      </c>
      <c r="AC121" s="11">
        <v>0</v>
      </c>
      <c r="AD121" s="15">
        <v>0</v>
      </c>
      <c r="AE121" s="2" t="s">
        <v>301</v>
      </c>
    </row>
    <row r="122" spans="1:31" s="2" customFormat="1" ht="21" customHeight="1" x14ac:dyDescent="0.3">
      <c r="A122" s="8">
        <v>121</v>
      </c>
      <c r="B122" s="8" t="s">
        <v>247</v>
      </c>
      <c r="C122" s="11" t="s">
        <v>302</v>
      </c>
      <c r="D122" s="11" t="s">
        <v>303</v>
      </c>
      <c r="E122" s="11" t="s">
        <v>64</v>
      </c>
      <c r="F122" s="11">
        <v>0</v>
      </c>
      <c r="G122" s="11">
        <v>0</v>
      </c>
      <c r="H122" s="11">
        <f t="shared" si="6"/>
        <v>0</v>
      </c>
      <c r="I122" s="11">
        <v>109</v>
      </c>
      <c r="J122" s="11">
        <v>5.7999999999999996E-3</v>
      </c>
      <c r="K122" s="11">
        <f t="shared" si="7"/>
        <v>0.63219999999999998</v>
      </c>
      <c r="L122" s="8">
        <v>40</v>
      </c>
      <c r="M122" s="11">
        <v>1.2E-2</v>
      </c>
      <c r="N122" s="12">
        <f t="shared" si="8"/>
        <v>0.48</v>
      </c>
      <c r="O122" s="13">
        <v>0.108</v>
      </c>
      <c r="P122" s="13">
        <v>5.5E-2</v>
      </c>
      <c r="Q122" s="13">
        <v>0.7</v>
      </c>
      <c r="R122" s="13">
        <v>0.1</v>
      </c>
      <c r="S122" s="13">
        <v>0.05</v>
      </c>
      <c r="T122" s="13">
        <v>0.05</v>
      </c>
      <c r="U122" s="14">
        <v>0</v>
      </c>
      <c r="V122" s="14">
        <v>0</v>
      </c>
      <c r="W122" s="13">
        <v>0.13</v>
      </c>
      <c r="X122" s="11">
        <v>0.18</v>
      </c>
      <c r="Y122" s="11">
        <f t="shared" si="10"/>
        <v>0.35</v>
      </c>
      <c r="Z122" s="15">
        <v>0</v>
      </c>
      <c r="AA122" s="15">
        <v>0</v>
      </c>
      <c r="AB122" s="14">
        <v>0</v>
      </c>
      <c r="AC122" s="11">
        <v>0</v>
      </c>
      <c r="AD122" s="15">
        <v>0</v>
      </c>
      <c r="AE122" s="2" t="s">
        <v>301</v>
      </c>
    </row>
    <row r="123" spans="1:31" s="2" customFormat="1" ht="21" customHeight="1" x14ac:dyDescent="0.3">
      <c r="A123" s="8">
        <v>122</v>
      </c>
      <c r="B123" s="8" t="s">
        <v>247</v>
      </c>
      <c r="C123" s="11" t="s">
        <v>304</v>
      </c>
      <c r="D123" s="11" t="s">
        <v>305</v>
      </c>
      <c r="E123" s="11" t="s">
        <v>64</v>
      </c>
      <c r="F123" s="11">
        <v>0</v>
      </c>
      <c r="G123" s="11">
        <v>0</v>
      </c>
      <c r="H123" s="11">
        <f t="shared" si="6"/>
        <v>0</v>
      </c>
      <c r="I123" s="11">
        <v>104</v>
      </c>
      <c r="J123" s="11">
        <v>5.7999999999999996E-3</v>
      </c>
      <c r="K123" s="11">
        <f t="shared" si="7"/>
        <v>0.60319999999999996</v>
      </c>
      <c r="L123" s="8">
        <v>44</v>
      </c>
      <c r="M123" s="11">
        <v>1.2E-2</v>
      </c>
      <c r="N123" s="12">
        <f t="shared" si="8"/>
        <v>0.52800000000000002</v>
      </c>
      <c r="O123" s="13">
        <v>0.108</v>
      </c>
      <c r="P123" s="13">
        <v>5.5E-2</v>
      </c>
      <c r="Q123" s="13">
        <v>0.7</v>
      </c>
      <c r="R123" s="13">
        <v>0.1</v>
      </c>
      <c r="S123" s="13">
        <v>0.05</v>
      </c>
      <c r="T123" s="13">
        <v>0.05</v>
      </c>
      <c r="U123" s="14">
        <v>0</v>
      </c>
      <c r="V123" s="14">
        <v>0</v>
      </c>
      <c r="W123" s="13">
        <v>0.13</v>
      </c>
      <c r="X123" s="11">
        <v>0.18</v>
      </c>
      <c r="Y123" s="11">
        <f t="shared" si="10"/>
        <v>0.35</v>
      </c>
      <c r="Z123" s="15">
        <v>0</v>
      </c>
      <c r="AA123" s="15">
        <v>0</v>
      </c>
      <c r="AB123" s="14">
        <v>0</v>
      </c>
      <c r="AC123" s="11">
        <v>0</v>
      </c>
      <c r="AD123" s="15">
        <v>0</v>
      </c>
      <c r="AE123" s="2" t="s">
        <v>301</v>
      </c>
    </row>
    <row r="124" spans="1:31" s="3" customFormat="1" ht="21" customHeight="1" x14ac:dyDescent="0.3">
      <c r="A124" s="8">
        <v>123</v>
      </c>
      <c r="B124" s="8" t="s">
        <v>247</v>
      </c>
      <c r="C124" s="11" t="s">
        <v>306</v>
      </c>
      <c r="D124" s="11" t="s">
        <v>307</v>
      </c>
      <c r="E124" s="11" t="s">
        <v>64</v>
      </c>
      <c r="F124" s="11">
        <v>0</v>
      </c>
      <c r="G124" s="11">
        <v>0</v>
      </c>
      <c r="H124" s="11">
        <f t="shared" si="6"/>
        <v>0</v>
      </c>
      <c r="I124" s="11">
        <v>72</v>
      </c>
      <c r="J124" s="11">
        <v>5.7999999999999996E-3</v>
      </c>
      <c r="K124" s="11">
        <f t="shared" si="7"/>
        <v>0.41759999999999997</v>
      </c>
      <c r="L124" s="11">
        <v>35</v>
      </c>
      <c r="M124" s="11">
        <v>1.2E-2</v>
      </c>
      <c r="N124" s="12">
        <f t="shared" si="8"/>
        <v>0.42</v>
      </c>
      <c r="O124" s="13">
        <v>0.108</v>
      </c>
      <c r="P124" s="13">
        <v>5.5E-2</v>
      </c>
      <c r="Q124" s="13">
        <v>0.45</v>
      </c>
      <c r="R124" s="13">
        <v>7.1999999999999995E-2</v>
      </c>
      <c r="S124" s="13">
        <v>4.1000000000000002E-2</v>
      </c>
      <c r="T124" s="13">
        <v>4.1000000000000002E-2</v>
      </c>
      <c r="U124" s="14">
        <v>0</v>
      </c>
      <c r="V124" s="14">
        <v>0</v>
      </c>
      <c r="W124" s="13">
        <v>0.11</v>
      </c>
      <c r="X124" s="11">
        <v>0.18</v>
      </c>
      <c r="Y124" s="11">
        <f t="shared" si="10"/>
        <v>0.35</v>
      </c>
      <c r="Z124" s="15">
        <v>0</v>
      </c>
      <c r="AA124" s="15">
        <v>0</v>
      </c>
      <c r="AB124" s="14">
        <v>0</v>
      </c>
      <c r="AC124" s="11">
        <v>0</v>
      </c>
      <c r="AD124" s="15">
        <v>0</v>
      </c>
      <c r="AE124" s="3" t="s">
        <v>308</v>
      </c>
    </row>
    <row r="125" spans="1:31" s="3" customFormat="1" ht="21" customHeight="1" x14ac:dyDescent="0.3">
      <c r="A125" s="8">
        <v>124</v>
      </c>
      <c r="B125" s="8" t="s">
        <v>247</v>
      </c>
      <c r="C125" s="11" t="s">
        <v>309</v>
      </c>
      <c r="D125" s="11" t="s">
        <v>310</v>
      </c>
      <c r="E125" s="11" t="s">
        <v>64</v>
      </c>
      <c r="F125" s="11">
        <v>0</v>
      </c>
      <c r="G125" s="11">
        <v>0</v>
      </c>
      <c r="H125" s="11">
        <f t="shared" si="6"/>
        <v>0</v>
      </c>
      <c r="I125" s="11">
        <v>72</v>
      </c>
      <c r="J125" s="11">
        <v>5.7999999999999996E-3</v>
      </c>
      <c r="K125" s="11">
        <f t="shared" si="7"/>
        <v>0.41759999999999997</v>
      </c>
      <c r="L125" s="11">
        <v>35</v>
      </c>
      <c r="M125" s="11">
        <v>1.2E-2</v>
      </c>
      <c r="N125" s="12">
        <f t="shared" si="8"/>
        <v>0.42</v>
      </c>
      <c r="O125" s="13">
        <v>0.108</v>
      </c>
      <c r="P125" s="13">
        <v>5.5E-2</v>
      </c>
      <c r="Q125" s="13">
        <v>0.45</v>
      </c>
      <c r="R125" s="13">
        <v>7.1999999999999995E-2</v>
      </c>
      <c r="S125" s="13">
        <v>4.1000000000000002E-2</v>
      </c>
      <c r="T125" s="13">
        <v>4.1000000000000002E-2</v>
      </c>
      <c r="U125" s="14">
        <v>0</v>
      </c>
      <c r="V125" s="14">
        <v>0</v>
      </c>
      <c r="W125" s="13">
        <v>0.11</v>
      </c>
      <c r="X125" s="11">
        <v>0.18</v>
      </c>
      <c r="Y125" s="11">
        <f t="shared" si="10"/>
        <v>0.35</v>
      </c>
      <c r="Z125" s="15">
        <v>0</v>
      </c>
      <c r="AA125" s="15">
        <v>0</v>
      </c>
      <c r="AB125" s="14">
        <v>0</v>
      </c>
      <c r="AC125" s="11">
        <v>0</v>
      </c>
      <c r="AD125" s="15">
        <v>0</v>
      </c>
      <c r="AE125" s="3" t="s">
        <v>308</v>
      </c>
    </row>
    <row r="126" spans="1:31" s="3" customFormat="1" ht="21" customHeight="1" x14ac:dyDescent="0.3">
      <c r="A126" s="8">
        <v>125</v>
      </c>
      <c r="B126" s="8" t="s">
        <v>247</v>
      </c>
      <c r="C126" s="11" t="s">
        <v>311</v>
      </c>
      <c r="D126" s="11" t="s">
        <v>312</v>
      </c>
      <c r="E126" s="11" t="s">
        <v>64</v>
      </c>
      <c r="F126" s="11">
        <v>0</v>
      </c>
      <c r="G126" s="11">
        <v>0</v>
      </c>
      <c r="H126" s="11">
        <f t="shared" si="6"/>
        <v>0</v>
      </c>
      <c r="I126" s="11">
        <v>54</v>
      </c>
      <c r="J126" s="11">
        <v>5.7999999999999996E-3</v>
      </c>
      <c r="K126" s="11">
        <f t="shared" si="7"/>
        <v>0.31319999999999998</v>
      </c>
      <c r="L126" s="11">
        <v>29</v>
      </c>
      <c r="M126" s="11">
        <v>1.2E-2</v>
      </c>
      <c r="N126" s="12">
        <f t="shared" si="8"/>
        <v>0.34800000000000003</v>
      </c>
      <c r="O126" s="13">
        <v>0.108</v>
      </c>
      <c r="P126" s="13">
        <v>5.5E-2</v>
      </c>
      <c r="Q126" s="13">
        <v>0.45</v>
      </c>
      <c r="R126" s="13">
        <v>7.1999999999999995E-2</v>
      </c>
      <c r="S126" s="13">
        <v>4.1000000000000002E-2</v>
      </c>
      <c r="T126" s="13">
        <v>4.1000000000000002E-2</v>
      </c>
      <c r="U126" s="14">
        <v>0</v>
      </c>
      <c r="V126" s="14">
        <v>0</v>
      </c>
      <c r="W126" s="13">
        <v>0.11</v>
      </c>
      <c r="X126" s="11">
        <v>0.18</v>
      </c>
      <c r="Y126" s="11">
        <f t="shared" si="10"/>
        <v>0.35</v>
      </c>
      <c r="Z126" s="15">
        <v>0</v>
      </c>
      <c r="AA126" s="15">
        <v>0</v>
      </c>
      <c r="AB126" s="14">
        <v>0</v>
      </c>
      <c r="AC126" s="11">
        <v>0</v>
      </c>
      <c r="AD126" s="15">
        <v>0</v>
      </c>
      <c r="AE126" s="3" t="s">
        <v>308</v>
      </c>
    </row>
    <row r="127" spans="1:31" s="3" customFormat="1" ht="21" customHeight="1" x14ac:dyDescent="0.3">
      <c r="A127" s="8">
        <v>126</v>
      </c>
      <c r="B127" s="8" t="s">
        <v>247</v>
      </c>
      <c r="C127" s="11" t="s">
        <v>313</v>
      </c>
      <c r="D127" s="11" t="s">
        <v>314</v>
      </c>
      <c r="E127" s="11" t="s">
        <v>64</v>
      </c>
      <c r="F127" s="11">
        <v>0</v>
      </c>
      <c r="G127" s="11">
        <v>0</v>
      </c>
      <c r="H127" s="11">
        <f t="shared" si="6"/>
        <v>0</v>
      </c>
      <c r="I127" s="11">
        <v>52</v>
      </c>
      <c r="J127" s="11">
        <v>5.7999999999999996E-3</v>
      </c>
      <c r="K127" s="11">
        <f t="shared" si="7"/>
        <v>0.30159999999999998</v>
      </c>
      <c r="L127" s="11">
        <v>29</v>
      </c>
      <c r="M127" s="11">
        <v>1.2E-2</v>
      </c>
      <c r="N127" s="12">
        <f t="shared" si="8"/>
        <v>0.34800000000000003</v>
      </c>
      <c r="O127" s="13">
        <v>0.108</v>
      </c>
      <c r="P127" s="13">
        <v>5.5E-2</v>
      </c>
      <c r="Q127" s="13">
        <v>0.45</v>
      </c>
      <c r="R127" s="13">
        <v>7.1999999999999995E-2</v>
      </c>
      <c r="S127" s="13">
        <v>4.1000000000000002E-2</v>
      </c>
      <c r="T127" s="13">
        <v>4.1000000000000002E-2</v>
      </c>
      <c r="U127" s="14">
        <v>0</v>
      </c>
      <c r="V127" s="14">
        <v>0</v>
      </c>
      <c r="W127" s="13">
        <v>0.11</v>
      </c>
      <c r="X127" s="11">
        <v>0.18</v>
      </c>
      <c r="Y127" s="11">
        <f t="shared" si="10"/>
        <v>0.35</v>
      </c>
      <c r="Z127" s="15">
        <v>0</v>
      </c>
      <c r="AA127" s="15">
        <v>0</v>
      </c>
      <c r="AB127" s="14">
        <v>0</v>
      </c>
      <c r="AC127" s="11">
        <v>0</v>
      </c>
      <c r="AD127" s="15">
        <v>0</v>
      </c>
      <c r="AE127" s="3" t="s">
        <v>308</v>
      </c>
    </row>
    <row r="128" spans="1:31" s="4" customFormat="1" ht="21" customHeight="1" x14ac:dyDescent="0.3">
      <c r="A128" s="8">
        <v>127</v>
      </c>
      <c r="B128" s="8" t="s">
        <v>134</v>
      </c>
      <c r="C128" s="11" t="s">
        <v>315</v>
      </c>
      <c r="D128" s="11" t="s">
        <v>316</v>
      </c>
      <c r="E128" s="11" t="s">
        <v>52</v>
      </c>
      <c r="F128" s="11">
        <v>0</v>
      </c>
      <c r="G128" s="11">
        <v>0</v>
      </c>
      <c r="H128" s="11">
        <f t="shared" si="6"/>
        <v>0</v>
      </c>
      <c r="I128" s="11">
        <v>43</v>
      </c>
      <c r="J128" s="11">
        <v>5.7999999999999996E-3</v>
      </c>
      <c r="K128" s="11">
        <f t="shared" si="7"/>
        <v>0.24939999999999998</v>
      </c>
      <c r="L128" s="11">
        <v>34</v>
      </c>
      <c r="M128" s="11">
        <v>1.2E-2</v>
      </c>
      <c r="N128" s="12">
        <f t="shared" si="8"/>
        <v>0.40800000000000003</v>
      </c>
      <c r="O128" s="13">
        <v>0.11</v>
      </c>
      <c r="P128" s="13">
        <v>5.5E-2</v>
      </c>
      <c r="Q128" s="13">
        <v>0.5</v>
      </c>
      <c r="R128" s="13">
        <v>0.15</v>
      </c>
      <c r="S128" s="13">
        <v>0.05</v>
      </c>
      <c r="T128" s="13">
        <v>0.05</v>
      </c>
      <c r="U128" s="14">
        <v>0</v>
      </c>
      <c r="V128" s="14">
        <v>0</v>
      </c>
      <c r="W128" s="13">
        <v>0.14000000000000001</v>
      </c>
      <c r="X128" s="15">
        <v>0</v>
      </c>
      <c r="Y128" s="15">
        <v>0</v>
      </c>
      <c r="Z128" s="15">
        <v>0</v>
      </c>
      <c r="AA128" s="15">
        <v>0</v>
      </c>
      <c r="AB128" s="14">
        <v>0</v>
      </c>
      <c r="AC128" s="14">
        <v>0</v>
      </c>
      <c r="AD128" s="15">
        <v>0</v>
      </c>
    </row>
    <row r="129" spans="1:30" s="2" customFormat="1" ht="21" customHeight="1" x14ac:dyDescent="0.3">
      <c r="A129" s="8">
        <v>128</v>
      </c>
      <c r="B129" s="8" t="s">
        <v>247</v>
      </c>
      <c r="C129" s="11" t="s">
        <v>317</v>
      </c>
      <c r="D129" s="11" t="s">
        <v>318</v>
      </c>
      <c r="E129" s="11" t="s">
        <v>52</v>
      </c>
      <c r="F129" s="11">
        <v>0</v>
      </c>
      <c r="G129" s="11">
        <v>0</v>
      </c>
      <c r="H129" s="11">
        <f t="shared" si="6"/>
        <v>0</v>
      </c>
      <c r="I129" s="11">
        <v>84</v>
      </c>
      <c r="J129" s="11">
        <v>5.7999999999999996E-3</v>
      </c>
      <c r="K129" s="11">
        <f t="shared" si="7"/>
        <v>0.48719999999999997</v>
      </c>
      <c r="L129" s="8">
        <v>33</v>
      </c>
      <c r="M129" s="11">
        <v>1.2E-2</v>
      </c>
      <c r="N129" s="12">
        <f t="shared" si="8"/>
        <v>0.39600000000000002</v>
      </c>
      <c r="O129" s="13">
        <v>0.108</v>
      </c>
      <c r="P129" s="13">
        <v>5.5E-2</v>
      </c>
      <c r="Q129" s="13">
        <v>0.45</v>
      </c>
      <c r="R129" s="13">
        <v>7.1999999999999995E-2</v>
      </c>
      <c r="S129" s="13">
        <v>4.1000000000000002E-2</v>
      </c>
      <c r="T129" s="13">
        <v>4.1000000000000002E-2</v>
      </c>
      <c r="U129" s="14">
        <v>0</v>
      </c>
      <c r="V129" s="14">
        <v>0</v>
      </c>
      <c r="W129" s="13">
        <v>0.11</v>
      </c>
      <c r="X129" s="11">
        <v>0.18</v>
      </c>
      <c r="Y129" s="11">
        <v>0.09</v>
      </c>
      <c r="Z129" s="11">
        <v>0.15</v>
      </c>
      <c r="AA129" s="15">
        <v>0</v>
      </c>
      <c r="AB129" s="14">
        <v>0</v>
      </c>
      <c r="AC129" s="14">
        <v>0</v>
      </c>
      <c r="AD129" s="15">
        <v>0</v>
      </c>
    </row>
    <row r="130" spans="1:30" s="2" customFormat="1" ht="21" customHeight="1" x14ac:dyDescent="0.3">
      <c r="A130" s="8">
        <v>129</v>
      </c>
      <c r="B130" s="8" t="s">
        <v>247</v>
      </c>
      <c r="C130" s="11" t="s">
        <v>319</v>
      </c>
      <c r="D130" s="11" t="s">
        <v>320</v>
      </c>
      <c r="E130" s="11" t="s">
        <v>52</v>
      </c>
      <c r="F130" s="11">
        <v>0</v>
      </c>
      <c r="G130" s="11">
        <v>0</v>
      </c>
      <c r="H130" s="11">
        <f t="shared" ref="H130:H132" si="11">+F130*G130</f>
        <v>0</v>
      </c>
      <c r="I130" s="11">
        <v>85</v>
      </c>
      <c r="J130" s="11">
        <v>5.7999999999999996E-3</v>
      </c>
      <c r="K130" s="11">
        <f t="shared" ref="K130:K132" si="12">+I130*J130</f>
        <v>0.49299999999999999</v>
      </c>
      <c r="L130" s="8">
        <v>33</v>
      </c>
      <c r="M130" s="11">
        <v>1.2E-2</v>
      </c>
      <c r="N130" s="12">
        <f t="shared" ref="N130:N132" si="13">+L130*M130</f>
        <v>0.39600000000000002</v>
      </c>
      <c r="O130" s="13">
        <v>0.108</v>
      </c>
      <c r="P130" s="13">
        <v>5.5E-2</v>
      </c>
      <c r="Q130" s="13">
        <v>0.45</v>
      </c>
      <c r="R130" s="13">
        <v>7.1999999999999995E-2</v>
      </c>
      <c r="S130" s="13">
        <v>4.1000000000000002E-2</v>
      </c>
      <c r="T130" s="13">
        <v>4.1000000000000002E-2</v>
      </c>
      <c r="U130" s="14">
        <v>0</v>
      </c>
      <c r="V130" s="14">
        <v>0</v>
      </c>
      <c r="W130" s="13">
        <v>0.11</v>
      </c>
      <c r="X130" s="11">
        <v>0.18</v>
      </c>
      <c r="Y130" s="11">
        <v>0.09</v>
      </c>
      <c r="Z130" s="11">
        <v>0.15</v>
      </c>
      <c r="AA130" s="15">
        <v>0</v>
      </c>
      <c r="AB130" s="14">
        <v>0</v>
      </c>
      <c r="AC130" s="14">
        <v>0</v>
      </c>
      <c r="AD130" s="15">
        <v>0</v>
      </c>
    </row>
    <row r="131" spans="1:30" s="4" customFormat="1" ht="21" customHeight="1" x14ac:dyDescent="0.3">
      <c r="A131" s="8">
        <v>130</v>
      </c>
      <c r="B131" s="8" t="s">
        <v>134</v>
      </c>
      <c r="C131" s="11" t="s">
        <v>321</v>
      </c>
      <c r="D131" s="11" t="s">
        <v>322</v>
      </c>
      <c r="E131" s="11" t="s">
        <v>323</v>
      </c>
      <c r="F131" s="11">
        <v>0</v>
      </c>
      <c r="G131" s="11">
        <v>0</v>
      </c>
      <c r="H131" s="11">
        <f t="shared" si="11"/>
        <v>0</v>
      </c>
      <c r="I131" s="11">
        <v>62</v>
      </c>
      <c r="J131" s="11">
        <v>5.7999999999999996E-3</v>
      </c>
      <c r="K131" s="11">
        <f t="shared" si="12"/>
        <v>0.35959999999999998</v>
      </c>
      <c r="L131" s="11">
        <v>28</v>
      </c>
      <c r="M131" s="11">
        <v>1.2E-2</v>
      </c>
      <c r="N131" s="12">
        <f t="shared" si="13"/>
        <v>0.33600000000000002</v>
      </c>
      <c r="O131" s="13">
        <v>0.11</v>
      </c>
      <c r="P131" s="13">
        <v>5.5E-2</v>
      </c>
      <c r="Q131" s="13">
        <v>0.5</v>
      </c>
      <c r="R131" s="13">
        <v>0.15</v>
      </c>
      <c r="S131" s="13">
        <v>0.05</v>
      </c>
      <c r="T131" s="13">
        <v>0.05</v>
      </c>
      <c r="U131" s="14">
        <v>0</v>
      </c>
      <c r="V131" s="14">
        <v>0</v>
      </c>
      <c r="W131" s="13">
        <v>0.14000000000000001</v>
      </c>
      <c r="X131" s="15">
        <v>0</v>
      </c>
      <c r="Y131" s="15">
        <v>0</v>
      </c>
      <c r="Z131" s="15">
        <v>0</v>
      </c>
      <c r="AA131" s="15">
        <v>0</v>
      </c>
      <c r="AB131" s="14">
        <v>0</v>
      </c>
      <c r="AC131" s="14">
        <v>0</v>
      </c>
      <c r="AD131" s="15">
        <v>0</v>
      </c>
    </row>
    <row r="132" spans="1:30" s="4" customFormat="1" ht="21" customHeight="1" x14ac:dyDescent="0.3">
      <c r="A132" s="8">
        <v>131</v>
      </c>
      <c r="B132" s="8" t="s">
        <v>49</v>
      </c>
      <c r="C132" s="11" t="s">
        <v>324</v>
      </c>
      <c r="D132" s="11" t="s">
        <v>325</v>
      </c>
      <c r="E132" s="11"/>
      <c r="F132" s="11">
        <v>12</v>
      </c>
      <c r="G132" s="11">
        <v>1.2E-2</v>
      </c>
      <c r="H132" s="11">
        <f t="shared" si="11"/>
        <v>0.14400000000000002</v>
      </c>
      <c r="I132" s="11">
        <v>55</v>
      </c>
      <c r="J132" s="11">
        <v>5.7999999999999996E-3</v>
      </c>
      <c r="K132" s="11">
        <f t="shared" si="12"/>
        <v>0.31899999999999995</v>
      </c>
      <c r="L132" s="11">
        <v>30</v>
      </c>
      <c r="M132" s="11">
        <v>1.2E-2</v>
      </c>
      <c r="N132" s="12">
        <f t="shared" si="13"/>
        <v>0.36</v>
      </c>
      <c r="O132" s="13">
        <v>0.108</v>
      </c>
      <c r="P132" s="13">
        <v>5.5E-2</v>
      </c>
      <c r="Q132" s="13">
        <v>0.52</v>
      </c>
      <c r="R132" s="13">
        <v>7.1999999999999995E-2</v>
      </c>
      <c r="S132" s="13">
        <v>4.1000000000000002E-2</v>
      </c>
      <c r="T132" s="13">
        <v>4.1000000000000002E-2</v>
      </c>
      <c r="U132" s="14">
        <v>0</v>
      </c>
      <c r="V132" s="14">
        <v>0</v>
      </c>
      <c r="W132" s="13">
        <v>0.11</v>
      </c>
      <c r="X132" s="15">
        <v>0</v>
      </c>
      <c r="Y132" s="15">
        <v>0</v>
      </c>
      <c r="Z132" s="15">
        <v>0</v>
      </c>
      <c r="AA132" s="15">
        <v>0</v>
      </c>
      <c r="AB132" s="14">
        <v>0</v>
      </c>
      <c r="AC132" s="14">
        <v>0</v>
      </c>
      <c r="AD132" s="15">
        <v>0</v>
      </c>
    </row>
  </sheetData>
  <autoFilter ref="A2:AE132" xr:uid="{00000000-0009-0000-0000-000000000000}"/>
  <phoneticPr fontId="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26.5.8车间人工单价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 loki</dc:creator>
  <cp:lastModifiedBy>sw loki</cp:lastModifiedBy>
  <dcterms:created xsi:type="dcterms:W3CDTF">2026-03-09T06:58:00Z</dcterms:created>
  <dcterms:modified xsi:type="dcterms:W3CDTF">2026-05-14T13:31:51Z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FAA87EE79BA54484A23387A985D4861A_13</vt:lpwstr>
  </property>
  <property fmtid="{D5CDD505-2E9C-101B-9397-08002B2CF9AE}" pid="3" name="KSOProductBuildVer">
    <vt:lpwstr>2052-12.1.0.23542</vt:lpwstr>
  </property>
</Properties>
</file>